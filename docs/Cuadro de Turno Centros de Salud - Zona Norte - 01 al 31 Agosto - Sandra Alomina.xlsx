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Z:\2026\CUADRO DE TURNOS\ISABU\agosto\"/>
    </mc:Choice>
  </mc:AlternateContent>
  <xr:revisionPtr revIDLastSave="0" documentId="8_{0D58D596-2BE7-42D9-9D11-0D14AFEA266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ENTROS DE SALUD ZONA NORTE" sheetId="3" r:id="rId1"/>
  </sheets>
  <definedNames>
    <definedName name="_xlnm.Print_Area" localSheetId="0">'CENTROS DE SALUD ZONA NORTE'!#REF!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7" i="3" l="1"/>
  <c r="AG37" i="3"/>
  <c r="AF37" i="3"/>
  <c r="AE37" i="3"/>
  <c r="AI37" i="3"/>
  <c r="J37" i="3"/>
  <c r="AE36" i="3"/>
  <c r="AF36" i="3"/>
  <c r="AG36" i="3"/>
  <c r="AH36" i="3"/>
  <c r="AI36" i="3"/>
  <c r="AB37" i="3"/>
  <c r="AA37" i="3"/>
  <c r="Z37" i="3"/>
  <c r="Y37" i="3"/>
  <c r="X37" i="3"/>
  <c r="AB36" i="3"/>
  <c r="AA36" i="3"/>
  <c r="Z36" i="3"/>
  <c r="Y36" i="3"/>
  <c r="X36" i="3"/>
  <c r="S37" i="3"/>
  <c r="R37" i="3"/>
  <c r="Q37" i="3"/>
  <c r="P37" i="3"/>
  <c r="O37" i="3"/>
  <c r="S36" i="3"/>
  <c r="R36" i="3"/>
  <c r="Q36" i="3"/>
  <c r="P36" i="3"/>
  <c r="O36" i="3"/>
  <c r="AN41" i="3"/>
  <c r="AN40" i="3"/>
  <c r="AN39" i="3"/>
  <c r="AN38" i="3"/>
  <c r="AN37" i="3"/>
  <c r="AN36" i="3"/>
  <c r="AN35" i="3"/>
  <c r="AN34" i="3"/>
  <c r="AN33" i="3"/>
  <c r="AN32" i="3"/>
  <c r="AN31" i="3"/>
  <c r="AN30" i="3"/>
  <c r="AN29" i="3"/>
  <c r="M41" i="3"/>
  <c r="L41" i="3"/>
  <c r="K41" i="3"/>
  <c r="J41" i="3"/>
  <c r="I41" i="3"/>
  <c r="H41" i="3"/>
  <c r="G41" i="3"/>
  <c r="M40" i="3"/>
  <c r="L40" i="3"/>
  <c r="K40" i="3"/>
  <c r="J40" i="3"/>
  <c r="I40" i="3"/>
  <c r="H40" i="3"/>
  <c r="G40" i="3"/>
  <c r="M39" i="3"/>
  <c r="L39" i="3"/>
  <c r="K39" i="3"/>
  <c r="J39" i="3"/>
  <c r="I39" i="3"/>
  <c r="H39" i="3"/>
  <c r="G39" i="3"/>
  <c r="M38" i="3"/>
  <c r="L38" i="3"/>
  <c r="K38" i="3"/>
  <c r="J38" i="3"/>
  <c r="I38" i="3"/>
  <c r="H38" i="3"/>
  <c r="G38" i="3"/>
  <c r="M37" i="3"/>
  <c r="L37" i="3"/>
  <c r="K37" i="3"/>
  <c r="I37" i="3"/>
  <c r="H37" i="3"/>
  <c r="G37" i="3"/>
  <c r="N37" i="3" s="1"/>
  <c r="M36" i="3"/>
  <c r="L36" i="3"/>
  <c r="K36" i="3"/>
  <c r="J36" i="3"/>
  <c r="I36" i="3"/>
  <c r="H36" i="3"/>
  <c r="G36" i="3"/>
  <c r="M35" i="3"/>
  <c r="L35" i="3"/>
  <c r="K35" i="3"/>
  <c r="J35" i="3"/>
  <c r="I35" i="3"/>
  <c r="H35" i="3"/>
  <c r="G35" i="3"/>
  <c r="M34" i="3"/>
  <c r="L34" i="3"/>
  <c r="K34" i="3"/>
  <c r="J34" i="3"/>
  <c r="I34" i="3"/>
  <c r="H34" i="3"/>
  <c r="G34" i="3"/>
  <c r="M33" i="3"/>
  <c r="L33" i="3"/>
  <c r="K33" i="3"/>
  <c r="J33" i="3"/>
  <c r="I33" i="3"/>
  <c r="H33" i="3"/>
  <c r="G33" i="3"/>
  <c r="M32" i="3"/>
  <c r="L32" i="3"/>
  <c r="K32" i="3"/>
  <c r="J32" i="3"/>
  <c r="I32" i="3"/>
  <c r="H32" i="3"/>
  <c r="G32" i="3"/>
  <c r="M31" i="3"/>
  <c r="L31" i="3"/>
  <c r="K31" i="3"/>
  <c r="J31" i="3"/>
  <c r="I31" i="3"/>
  <c r="H31" i="3"/>
  <c r="G31" i="3"/>
  <c r="M30" i="3"/>
  <c r="L30" i="3"/>
  <c r="K30" i="3"/>
  <c r="J30" i="3"/>
  <c r="I30" i="3"/>
  <c r="H30" i="3"/>
  <c r="G30" i="3"/>
  <c r="M29" i="3"/>
  <c r="L29" i="3"/>
  <c r="K29" i="3"/>
  <c r="U41" i="3"/>
  <c r="T41" i="3"/>
  <c r="S41" i="3"/>
  <c r="R41" i="3"/>
  <c r="Q41" i="3"/>
  <c r="P41" i="3"/>
  <c r="O41" i="3"/>
  <c r="U40" i="3"/>
  <c r="T40" i="3"/>
  <c r="S40" i="3"/>
  <c r="R40" i="3"/>
  <c r="Q40" i="3"/>
  <c r="P40" i="3"/>
  <c r="O40" i="3"/>
  <c r="U39" i="3"/>
  <c r="T39" i="3"/>
  <c r="S39" i="3"/>
  <c r="R39" i="3"/>
  <c r="Q39" i="3"/>
  <c r="P39" i="3"/>
  <c r="O39" i="3"/>
  <c r="U38" i="3"/>
  <c r="T38" i="3"/>
  <c r="S38" i="3"/>
  <c r="R38" i="3"/>
  <c r="Q38" i="3"/>
  <c r="P38" i="3"/>
  <c r="O38" i="3"/>
  <c r="U37" i="3"/>
  <c r="T37" i="3"/>
  <c r="U36" i="3"/>
  <c r="T36" i="3"/>
  <c r="U35" i="3"/>
  <c r="T35" i="3"/>
  <c r="S35" i="3"/>
  <c r="R35" i="3"/>
  <c r="Q35" i="3"/>
  <c r="P35" i="3"/>
  <c r="O35" i="3"/>
  <c r="U34" i="3"/>
  <c r="T34" i="3"/>
  <c r="S34" i="3"/>
  <c r="R34" i="3"/>
  <c r="Q34" i="3"/>
  <c r="P34" i="3"/>
  <c r="O34" i="3"/>
  <c r="U33" i="3"/>
  <c r="T33" i="3"/>
  <c r="S33" i="3"/>
  <c r="R33" i="3"/>
  <c r="Q33" i="3"/>
  <c r="P33" i="3"/>
  <c r="O33" i="3"/>
  <c r="U32" i="3"/>
  <c r="T32" i="3"/>
  <c r="S32" i="3"/>
  <c r="R32" i="3"/>
  <c r="Q32" i="3"/>
  <c r="P32" i="3"/>
  <c r="O32" i="3"/>
  <c r="U31" i="3"/>
  <c r="T31" i="3"/>
  <c r="S31" i="3"/>
  <c r="R31" i="3"/>
  <c r="Q31" i="3"/>
  <c r="P31" i="3"/>
  <c r="O31" i="3"/>
  <c r="U30" i="3"/>
  <c r="T30" i="3"/>
  <c r="S30" i="3"/>
  <c r="R30" i="3"/>
  <c r="Q30" i="3"/>
  <c r="P30" i="3"/>
  <c r="O30" i="3"/>
  <c r="Q29" i="3"/>
  <c r="S29" i="3"/>
  <c r="U29" i="3"/>
  <c r="T29" i="3"/>
  <c r="P29" i="3"/>
  <c r="O29" i="3"/>
  <c r="AC41" i="3"/>
  <c r="AB41" i="3"/>
  <c r="AA41" i="3"/>
  <c r="Z41" i="3"/>
  <c r="Y41" i="3"/>
  <c r="X41" i="3"/>
  <c r="W41" i="3"/>
  <c r="AC40" i="3"/>
  <c r="AB40" i="3"/>
  <c r="AA40" i="3"/>
  <c r="Z40" i="3"/>
  <c r="Y40" i="3"/>
  <c r="X40" i="3"/>
  <c r="W40" i="3"/>
  <c r="AC39" i="3"/>
  <c r="AB39" i="3"/>
  <c r="AA39" i="3"/>
  <c r="Z39" i="3"/>
  <c r="Y39" i="3"/>
  <c r="X39" i="3"/>
  <c r="W39" i="3"/>
  <c r="AC38" i="3"/>
  <c r="AB38" i="3"/>
  <c r="AA38" i="3"/>
  <c r="Z38" i="3"/>
  <c r="Y38" i="3"/>
  <c r="X38" i="3"/>
  <c r="W38" i="3"/>
  <c r="AC37" i="3"/>
  <c r="W37" i="3"/>
  <c r="AC36" i="3"/>
  <c r="W36" i="3"/>
  <c r="AC35" i="3"/>
  <c r="AB35" i="3"/>
  <c r="AA35" i="3"/>
  <c r="Z35" i="3"/>
  <c r="Y35" i="3"/>
  <c r="X35" i="3"/>
  <c r="W35" i="3"/>
  <c r="AC34" i="3"/>
  <c r="AB34" i="3"/>
  <c r="AA34" i="3"/>
  <c r="Z34" i="3"/>
  <c r="Y34" i="3"/>
  <c r="X34" i="3"/>
  <c r="W34" i="3"/>
  <c r="AC33" i="3"/>
  <c r="AB33" i="3"/>
  <c r="AA33" i="3"/>
  <c r="Z33" i="3"/>
  <c r="Y33" i="3"/>
  <c r="X33" i="3"/>
  <c r="W33" i="3"/>
  <c r="AC32" i="3"/>
  <c r="AB32" i="3"/>
  <c r="AA32" i="3"/>
  <c r="Z32" i="3"/>
  <c r="Y32" i="3"/>
  <c r="X32" i="3"/>
  <c r="W32" i="3"/>
  <c r="AC31" i="3"/>
  <c r="AB31" i="3"/>
  <c r="AA31" i="3"/>
  <c r="Z31" i="3"/>
  <c r="Y31" i="3"/>
  <c r="X31" i="3"/>
  <c r="W31" i="3"/>
  <c r="AC30" i="3"/>
  <c r="AB30" i="3"/>
  <c r="AA30" i="3"/>
  <c r="Z30" i="3"/>
  <c r="Y30" i="3"/>
  <c r="X30" i="3"/>
  <c r="W30" i="3"/>
  <c r="W29" i="3"/>
  <c r="AA29" i="3"/>
  <c r="AC29" i="3"/>
  <c r="AB29" i="3"/>
  <c r="Z29" i="3"/>
  <c r="Y29" i="3"/>
  <c r="X29" i="3"/>
  <c r="AK41" i="3"/>
  <c r="AJ41" i="3"/>
  <c r="AI41" i="3"/>
  <c r="AH41" i="3"/>
  <c r="AG41" i="3"/>
  <c r="AF41" i="3"/>
  <c r="AE41" i="3"/>
  <c r="AK40" i="3"/>
  <c r="AJ40" i="3"/>
  <c r="AI40" i="3"/>
  <c r="AH40" i="3"/>
  <c r="AG40" i="3"/>
  <c r="AF40" i="3"/>
  <c r="AE40" i="3"/>
  <c r="AK39" i="3"/>
  <c r="AJ39" i="3"/>
  <c r="AI39" i="3"/>
  <c r="AH39" i="3"/>
  <c r="AG39" i="3"/>
  <c r="AF39" i="3"/>
  <c r="AE39" i="3"/>
  <c r="AK38" i="3"/>
  <c r="AJ38" i="3"/>
  <c r="AI38" i="3"/>
  <c r="AH38" i="3"/>
  <c r="AG38" i="3"/>
  <c r="AF38" i="3"/>
  <c r="AE38" i="3"/>
  <c r="AK37" i="3"/>
  <c r="AJ37" i="3"/>
  <c r="AK36" i="3"/>
  <c r="AJ36" i="3"/>
  <c r="AK35" i="3"/>
  <c r="AJ35" i="3"/>
  <c r="AI35" i="3"/>
  <c r="AH35" i="3"/>
  <c r="AG35" i="3"/>
  <c r="AF35" i="3"/>
  <c r="AE35" i="3"/>
  <c r="AK34" i="3"/>
  <c r="AJ34" i="3"/>
  <c r="AI34" i="3"/>
  <c r="AH34" i="3"/>
  <c r="AG34" i="3"/>
  <c r="AF34" i="3"/>
  <c r="AE34" i="3"/>
  <c r="AK33" i="3"/>
  <c r="AJ33" i="3"/>
  <c r="AI33" i="3"/>
  <c r="AH33" i="3"/>
  <c r="AG33" i="3"/>
  <c r="AF33" i="3"/>
  <c r="AE33" i="3"/>
  <c r="AK32" i="3"/>
  <c r="AJ32" i="3"/>
  <c r="AI32" i="3"/>
  <c r="AH32" i="3"/>
  <c r="AG32" i="3"/>
  <c r="AF32" i="3"/>
  <c r="AE32" i="3"/>
  <c r="AK31" i="3"/>
  <c r="AJ31" i="3"/>
  <c r="AI31" i="3"/>
  <c r="AH31" i="3"/>
  <c r="AG31" i="3"/>
  <c r="AF31" i="3"/>
  <c r="AE31" i="3"/>
  <c r="AK30" i="3"/>
  <c r="AJ30" i="3"/>
  <c r="AI30" i="3"/>
  <c r="AH30" i="3"/>
  <c r="AG30" i="3"/>
  <c r="AF30" i="3"/>
  <c r="AE30" i="3"/>
  <c r="AF29" i="3"/>
  <c r="AG29" i="3"/>
  <c r="AK29" i="3"/>
  <c r="AJ29" i="3"/>
  <c r="AH29" i="3"/>
  <c r="AI29" i="3"/>
  <c r="J29" i="3"/>
  <c r="AM41" i="3"/>
  <c r="AM40" i="3"/>
  <c r="AM39" i="3"/>
  <c r="AM38" i="3"/>
  <c r="AM37" i="3"/>
  <c r="AM36" i="3"/>
  <c r="AM35" i="3"/>
  <c r="AM34" i="3"/>
  <c r="AM33" i="3"/>
  <c r="AM32" i="3"/>
  <c r="AM31" i="3"/>
  <c r="AM30" i="3"/>
  <c r="AM29" i="3"/>
  <c r="AE29" i="3"/>
  <c r="E41" i="3"/>
  <c r="D41" i="3"/>
  <c r="E40" i="3"/>
  <c r="D40" i="3"/>
  <c r="E39" i="3"/>
  <c r="D39" i="3"/>
  <c r="E38" i="3"/>
  <c r="D38" i="3"/>
  <c r="E37" i="3"/>
  <c r="D37" i="3"/>
  <c r="E36" i="3"/>
  <c r="D36" i="3"/>
  <c r="E35" i="3"/>
  <c r="D35" i="3"/>
  <c r="E34" i="3"/>
  <c r="D34" i="3"/>
  <c r="E33" i="3"/>
  <c r="D33" i="3"/>
  <c r="E32" i="3"/>
  <c r="D32" i="3"/>
  <c r="E31" i="3"/>
  <c r="D31" i="3"/>
  <c r="E30" i="3"/>
  <c r="D30" i="3"/>
  <c r="I29" i="3"/>
  <c r="H29" i="3"/>
  <c r="G29" i="3"/>
  <c r="E29" i="3"/>
  <c r="D29" i="3"/>
  <c r="R29" i="3"/>
  <c r="C33" i="3"/>
  <c r="C30" i="3"/>
  <c r="C31" i="3"/>
  <c r="C32" i="3"/>
  <c r="C34" i="3"/>
  <c r="C35" i="3"/>
  <c r="C36" i="3"/>
  <c r="C37" i="3"/>
  <c r="C38" i="3"/>
  <c r="C39" i="3"/>
  <c r="C40" i="3"/>
  <c r="C41" i="3"/>
  <c r="C29" i="3"/>
  <c r="B41" i="3"/>
  <c r="B40" i="3"/>
  <c r="AO37" i="3" l="1"/>
  <c r="AO36" i="3"/>
  <c r="AO33" i="3"/>
  <c r="AO32" i="3"/>
  <c r="AL40" i="3"/>
  <c r="AL39" i="3"/>
  <c r="AL38" i="3"/>
  <c r="AL36" i="3"/>
  <c r="AL35" i="3"/>
  <c r="AL34" i="3"/>
  <c r="AL33" i="3"/>
  <c r="AL32" i="3"/>
  <c r="AD36" i="3"/>
  <c r="V37" i="3"/>
  <c r="V36" i="3"/>
  <c r="V33" i="3"/>
  <c r="N36" i="3"/>
  <c r="N34" i="3"/>
  <c r="N33" i="3"/>
  <c r="F37" i="3"/>
  <c r="F36" i="3"/>
  <c r="F33" i="3"/>
  <c r="F32" i="3"/>
  <c r="AO31" i="3"/>
  <c r="AL31" i="3"/>
  <c r="AD31" i="3"/>
  <c r="V31" i="3"/>
  <c r="N31" i="3"/>
  <c r="F31" i="3"/>
  <c r="AP31" i="3" s="1"/>
  <c r="AO30" i="3"/>
  <c r="AL30" i="3"/>
  <c r="AD30" i="3"/>
  <c r="V30" i="3"/>
  <c r="N30" i="3"/>
  <c r="F30" i="3"/>
  <c r="AO41" i="3"/>
  <c r="AL41" i="3"/>
  <c r="AD41" i="3"/>
  <c r="V41" i="3"/>
  <c r="N41" i="3"/>
  <c r="F41" i="3"/>
  <c r="AO40" i="3"/>
  <c r="AD40" i="3"/>
  <c r="V40" i="3"/>
  <c r="N40" i="3"/>
  <c r="F40" i="3"/>
  <c r="AO39" i="3"/>
  <c r="AD39" i="3"/>
  <c r="V39" i="3"/>
  <c r="N39" i="3"/>
  <c r="F39" i="3"/>
  <c r="AO38" i="3"/>
  <c r="AL37" i="3"/>
  <c r="AD38" i="3"/>
  <c r="AD37" i="3"/>
  <c r="V38" i="3"/>
  <c r="N38" i="3"/>
  <c r="F38" i="3"/>
  <c r="AO35" i="3"/>
  <c r="AD35" i="3"/>
  <c r="V35" i="3"/>
  <c r="N35" i="3"/>
  <c r="F35" i="3"/>
  <c r="AO34" i="3"/>
  <c r="AD34" i="3"/>
  <c r="AD33" i="3"/>
  <c r="V34" i="3"/>
  <c r="F34" i="3"/>
  <c r="AD32" i="3"/>
  <c r="V32" i="3"/>
  <c r="N32" i="3"/>
  <c r="AO29" i="3"/>
  <c r="AL29" i="3"/>
  <c r="AD29" i="3"/>
  <c r="V29" i="3"/>
  <c r="N29" i="3"/>
  <c r="F29" i="3"/>
  <c r="AK42" i="3"/>
  <c r="S42" i="3"/>
  <c r="AB42" i="3"/>
  <c r="J42" i="3"/>
  <c r="X42" i="3"/>
  <c r="Q42" i="3"/>
  <c r="L42" i="3"/>
  <c r="Y42" i="3"/>
  <c r="T42" i="3"/>
  <c r="P42" i="3"/>
  <c r="AN42" i="3"/>
  <c r="AJ42" i="3"/>
  <c r="AG42" i="3"/>
  <c r="AE42" i="3"/>
  <c r="Z42" i="3"/>
  <c r="W42" i="3"/>
  <c r="R42" i="3"/>
  <c r="M42" i="3"/>
  <c r="AM42" i="3"/>
  <c r="AI42" i="3"/>
  <c r="AH42" i="3"/>
  <c r="AF42" i="3"/>
  <c r="AC42" i="3"/>
  <c r="AA42" i="3"/>
  <c r="U42" i="3"/>
  <c r="O42" i="3"/>
  <c r="K42" i="3"/>
  <c r="I42" i="3"/>
  <c r="H42" i="3"/>
  <c r="G42" i="3"/>
  <c r="E42" i="3"/>
  <c r="D42" i="3"/>
  <c r="B36" i="3"/>
  <c r="B33" i="3"/>
  <c r="B28" i="3"/>
  <c r="B39" i="3"/>
  <c r="B38" i="3"/>
  <c r="B37" i="3"/>
  <c r="B35" i="3"/>
  <c r="B34" i="3"/>
  <c r="B32" i="3"/>
  <c r="B31" i="3"/>
  <c r="B30" i="3"/>
  <c r="B29" i="3"/>
  <c r="AP38" i="3" l="1"/>
  <c r="AP40" i="3"/>
  <c r="AP39" i="3"/>
  <c r="AP30" i="3"/>
  <c r="AP37" i="3"/>
  <c r="AP36" i="3"/>
  <c r="AP41" i="3"/>
  <c r="AP35" i="3"/>
  <c r="AP33" i="3"/>
  <c r="AP32" i="3"/>
  <c r="AP29" i="3"/>
  <c r="AP34" i="3"/>
  <c r="AO42" i="3"/>
  <c r="AP42" i="3" l="1"/>
</calcChain>
</file>

<file path=xl/sharedStrings.xml><?xml version="1.0" encoding="utf-8"?>
<sst xmlns="http://schemas.openxmlformats.org/spreadsheetml/2006/main" count="567" uniqueCount="78">
  <si>
    <t>GTH-FT-038</t>
  </si>
  <si>
    <t>Fecha:  25-06-2018</t>
  </si>
  <si>
    <t>Versión:  02</t>
  </si>
  <si>
    <t>Página 1 de 1</t>
  </si>
  <si>
    <t>UNIDAD FUNCIONAL:</t>
  </si>
  <si>
    <t>INSTITUTO DE SALUD BUCARAMANGA - ISABU</t>
  </si>
  <si>
    <t>SERVICIO:</t>
  </si>
  <si>
    <t>DIA</t>
  </si>
  <si>
    <t>NOMBRE</t>
  </si>
  <si>
    <t>CAP</t>
  </si>
  <si>
    <t>FIRMA</t>
  </si>
  <si>
    <t>D</t>
  </si>
  <si>
    <t>L</t>
  </si>
  <si>
    <t>M</t>
  </si>
  <si>
    <t>J</t>
  </si>
  <si>
    <t>V</t>
  </si>
  <si>
    <t>S</t>
  </si>
  <si>
    <t>TOTAL HORAS</t>
  </si>
  <si>
    <t>NO SE PERMITE CAMBIO DE TURNO SIN PREVIA AUTORIZACION DEL COORDINADOR</t>
  </si>
  <si>
    <t>CONVENCIONES</t>
  </si>
  <si>
    <t>TURNO</t>
  </si>
  <si>
    <t>INICIO</t>
  </si>
  <si>
    <t>FIN</t>
  </si>
  <si>
    <t>Libre</t>
  </si>
  <si>
    <t>Capacitacion</t>
  </si>
  <si>
    <t>ELABORÓ : MILENA ALOMIA AYALA</t>
  </si>
  <si>
    <t>REVISÓ: YERLIT LILIANA LOPEZ MURILLO</t>
  </si>
  <si>
    <t>APROBÓ : GUSTAVO ADOLFO TABORDA</t>
  </si>
  <si>
    <t>Tec. Con funciones de Coordinador de Facturación</t>
  </si>
  <si>
    <t xml:space="preserve">Directora de Facturacion </t>
  </si>
  <si>
    <t>Dirección de Operaciones y Estrategias de Innovación</t>
  </si>
  <si>
    <t>TOTAL HORAS DIA</t>
  </si>
  <si>
    <t>CUADRO DE TURNOS</t>
  </si>
  <si>
    <t xml:space="preserve">PERIODO: </t>
  </si>
  <si>
    <t>CENTRO DE SALUD</t>
  </si>
  <si>
    <t>J5</t>
  </si>
  <si>
    <t>J2</t>
  </si>
  <si>
    <t>J7</t>
  </si>
  <si>
    <t>J6</t>
  </si>
  <si>
    <t>J4</t>
  </si>
  <si>
    <t>J3</t>
  </si>
  <si>
    <t>J1</t>
  </si>
  <si>
    <t>TURNO 1</t>
  </si>
  <si>
    <t>TURNO 2</t>
  </si>
  <si>
    <t>TURNO 3</t>
  </si>
  <si>
    <t>TURNO 4</t>
  </si>
  <si>
    <t>TURNO 5</t>
  </si>
  <si>
    <t>TURNO 6</t>
  </si>
  <si>
    <t>TURNO 7</t>
  </si>
  <si>
    <t>J8</t>
  </si>
  <si>
    <t>TURNO 8</t>
  </si>
  <si>
    <t>CENTROS DE SALUD ZONA NORTE</t>
  </si>
  <si>
    <t>WILLIAM ADARME</t>
  </si>
  <si>
    <t>JENNIFER ROJAS</t>
  </si>
  <si>
    <t>JORGE SILGADO</t>
  </si>
  <si>
    <t>OLGA HERNANDEZ</t>
  </si>
  <si>
    <t>MAYERLI CUBIDES</t>
  </si>
  <si>
    <t>OLGA LEON</t>
  </si>
  <si>
    <t>XIOMARA LIZARASO</t>
  </si>
  <si>
    <t>EDNA MERCHAN</t>
  </si>
  <si>
    <t xml:space="preserve">MARISEL CASTILA </t>
  </si>
  <si>
    <t xml:space="preserve">JAHIRA CANDELA </t>
  </si>
  <si>
    <t>YULLY MARIANA CHAVEZ</t>
  </si>
  <si>
    <t>KAROL YULIANA ROZO</t>
  </si>
  <si>
    <t>LAURA ORTEGA</t>
  </si>
  <si>
    <t>COLORADOS</t>
  </si>
  <si>
    <t>CAFÉ MADRID</t>
  </si>
  <si>
    <t>KENNEDY</t>
  </si>
  <si>
    <t>VILLA ROSA</t>
  </si>
  <si>
    <t>IPC</t>
  </si>
  <si>
    <t>GIRARDOT</t>
  </si>
  <si>
    <t xml:space="preserve">GIRARDOT </t>
  </si>
  <si>
    <t>SANTANDER</t>
  </si>
  <si>
    <t>SAN RAFAEL</t>
  </si>
  <si>
    <t>REGADEROS</t>
  </si>
  <si>
    <t xml:space="preserve">GAITAN </t>
  </si>
  <si>
    <t>H</t>
  </si>
  <si>
    <t>1 DE AGOSTO  AL 31 AGOSTO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</si>
</sst>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;[Red]0"/>
    <numFmt numFmtId="165" formatCode="0.0;[Red]0.0"/>
    <numFmt numFmtId="166" formatCode="0.0"/>
  </numFmts>
  <fonts count="27">
    <font>
      <sz val="11"/>
      <color theme="1"/>
      <name val="Arial"/>
      <charset val="134"/>
    </font>
    <font>
      <b/>
      <sz val="12"/>
      <color theme="1"/>
      <name val="Calibri"/>
      <family val="2"/>
    </font>
    <font>
      <b/>
      <sz val="18"/>
      <name val="Calibri"/>
      <family val="2"/>
    </font>
    <font>
      <sz val="12"/>
      <name val="Calibri"/>
      <family val="2"/>
    </font>
    <font>
      <b/>
      <sz val="11"/>
      <color theme="1"/>
      <name val="Arial Narrow"/>
      <family val="2"/>
    </font>
    <font>
      <sz val="12"/>
      <color rgb="FF000000"/>
      <name val="Calibri"/>
      <family val="2"/>
    </font>
    <font>
      <sz val="11"/>
      <name val="Arial Narrow"/>
      <family val="2"/>
    </font>
    <font>
      <b/>
      <sz val="12"/>
      <name val="Calibri"/>
      <family val="2"/>
    </font>
    <font>
      <sz val="11"/>
      <color theme="1"/>
      <name val="Arial Narrow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b/>
      <sz val="11"/>
      <color rgb="FF000000"/>
      <name val="Arial Narrow"/>
      <family val="2"/>
    </font>
    <font>
      <b/>
      <sz val="12"/>
      <color rgb="FF000000"/>
      <name val="Arial Narrow"/>
      <family val="2"/>
    </font>
    <font>
      <sz val="12"/>
      <color rgb="FF000000"/>
      <name val="Arial Narrow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sz val="12"/>
      <name val="Arial Narrow"/>
      <family val="2"/>
    </font>
    <font>
      <b/>
      <sz val="12"/>
      <name val="Arial Narrow"/>
      <family val="2"/>
    </font>
    <font>
      <b/>
      <sz val="10"/>
      <color theme="1"/>
      <name val="Arial Narrow"/>
      <family val="2"/>
    </font>
    <font>
      <sz val="11"/>
      <color theme="1"/>
      <name val="Calibri"/>
      <family val="2"/>
    </font>
    <font>
      <u/>
      <sz val="11"/>
      <color theme="1"/>
      <name val="Arial"/>
      <family val="2"/>
    </font>
    <font>
      <b/>
      <sz val="8"/>
      <color theme="1"/>
      <name val="Arial Narrow"/>
      <family val="2"/>
    </font>
    <font>
      <b/>
      <sz val="8"/>
      <name val="Arial Narrow"/>
      <family val="2"/>
    </font>
    <font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theme="0"/>
      </patternFill>
    </fill>
    <fill>
      <patternFill patternType="solid">
        <fgColor rgb="FFAEAEAE"/>
        <bgColor rgb="FFAEAEAE"/>
      </patternFill>
    </fill>
  </fills>
  <borders count="46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rgb="FF000000"/>
      </bottom>
      <diagonal/>
    </border>
    <border>
      <left/>
      <right/>
      <top style="medium">
        <color auto="1"/>
      </top>
      <bottom style="thin">
        <color rgb="FF000000"/>
      </bottom>
      <diagonal/>
    </border>
    <border>
      <left style="thin">
        <color rgb="FF000000"/>
      </left>
      <right/>
      <top style="medium">
        <color auto="1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/>
      <top style="thin">
        <color rgb="FF000000"/>
      </top>
      <bottom style="medium">
        <color auto="1"/>
      </bottom>
      <diagonal/>
    </border>
    <border>
      <left/>
      <right/>
      <top style="thin">
        <color rgb="FF000000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medium">
        <color indexed="64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/>
      <top style="thin">
        <color auto="1"/>
      </top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</borders>
  <cellStyleXfs count="8">
    <xf numFmtId="0" fontId="0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</cellStyleXfs>
  <cellXfs count="133">
    <xf numFmtId="0" fontId="0" fillId="0" borderId="0" xfId="0"/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4" fillId="0" borderId="3" xfId="1" applyFont="1" applyBorder="1" applyAlignment="1">
      <alignment horizontal="left" vertical="center"/>
    </xf>
    <xf numFmtId="0" fontId="6" fillId="0" borderId="2" xfId="1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1" fillId="0" borderId="0" xfId="1" applyFont="1" applyAlignment="1">
      <alignment horizontal="left" vertical="center" wrapText="1"/>
    </xf>
    <xf numFmtId="0" fontId="11" fillId="2" borderId="0" xfId="0" applyFont="1" applyFill="1" applyAlignment="1">
      <alignment horizontal="center" vertical="center"/>
    </xf>
    <xf numFmtId="0" fontId="12" fillId="0" borderId="0" xfId="0" applyFont="1"/>
    <xf numFmtId="0" fontId="13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12" xfId="1" applyFont="1" applyBorder="1" applyAlignment="1">
      <alignment horizontal="center" vertical="center"/>
    </xf>
    <xf numFmtId="0" fontId="16" fillId="0" borderId="14" xfId="1" applyFont="1" applyBorder="1" applyAlignment="1">
      <alignment horizontal="center" vertical="center"/>
    </xf>
    <xf numFmtId="0" fontId="16" fillId="0" borderId="15" xfId="1" applyFont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20" fontId="18" fillId="0" borderId="0" xfId="0" applyNumberFormat="1" applyFont="1" applyAlignment="1">
      <alignment horizontal="center" vertical="center"/>
    </xf>
    <xf numFmtId="164" fontId="3" fillId="0" borderId="0" xfId="3" applyNumberFormat="1" applyFont="1" applyAlignment="1">
      <alignment horizontal="center" vertical="center"/>
    </xf>
    <xf numFmtId="1" fontId="18" fillId="0" borderId="0" xfId="0" applyNumberFormat="1" applyFont="1" applyAlignment="1">
      <alignment horizontal="center" vertical="center" wrapText="1"/>
    </xf>
    <xf numFmtId="0" fontId="10" fillId="0" borderId="0" xfId="1" applyFont="1" applyAlignment="1">
      <alignment vertical="center"/>
    </xf>
    <xf numFmtId="0" fontId="12" fillId="0" borderId="0" xfId="0" applyFont="1" applyAlignment="1">
      <alignment vertical="center"/>
    </xf>
    <xf numFmtId="164" fontId="19" fillId="0" borderId="0" xfId="0" applyNumberFormat="1" applyFont="1" applyAlignment="1">
      <alignment horizontal="center" vertical="center"/>
    </xf>
    <xf numFmtId="0" fontId="10" fillId="0" borderId="0" xfId="0" applyFont="1"/>
    <xf numFmtId="164" fontId="3" fillId="0" borderId="0" xfId="0" applyNumberFormat="1" applyFont="1" applyAlignment="1">
      <alignment horizontal="center" vertical="center"/>
    </xf>
    <xf numFmtId="0" fontId="11" fillId="0" borderId="0" xfId="1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20" fillId="0" borderId="0" xfId="1" applyFont="1" applyAlignment="1">
      <alignment horizontal="center" vertical="center" wrapText="1"/>
    </xf>
    <xf numFmtId="165" fontId="19" fillId="0" borderId="0" xfId="0" applyNumberFormat="1" applyFont="1" applyAlignment="1">
      <alignment horizontal="center" vertical="center"/>
    </xf>
    <xf numFmtId="164" fontId="19" fillId="2" borderId="0" xfId="0" applyNumberFormat="1" applyFont="1" applyFill="1" applyAlignment="1">
      <alignment horizontal="center" vertical="center"/>
    </xf>
    <xf numFmtId="0" fontId="5" fillId="0" borderId="0" xfId="3" applyFont="1" applyAlignment="1">
      <alignment vertical="center"/>
    </xf>
    <xf numFmtId="0" fontId="10" fillId="0" borderId="0" xfId="3" applyFont="1"/>
    <xf numFmtId="20" fontId="22" fillId="0" borderId="21" xfId="0" applyNumberFormat="1" applyFont="1" applyBorder="1" applyAlignment="1">
      <alignment vertical="center"/>
    </xf>
    <xf numFmtId="0" fontId="10" fillId="0" borderId="0" xfId="3" applyFont="1" applyAlignment="1">
      <alignment vertical="center"/>
    </xf>
    <xf numFmtId="0" fontId="23" fillId="0" borderId="0" xfId="0" applyFont="1"/>
    <xf numFmtId="20" fontId="22" fillId="0" borderId="21" xfId="0" applyNumberFormat="1" applyFont="1" applyBorder="1" applyAlignment="1">
      <alignment horizontal="center" vertical="center"/>
    </xf>
    <xf numFmtId="0" fontId="3" fillId="0" borderId="0" xfId="5" applyFont="1" applyAlignment="1">
      <alignment vertical="center" wrapText="1"/>
    </xf>
    <xf numFmtId="0" fontId="10" fillId="0" borderId="0" xfId="3" applyFont="1" applyAlignment="1">
      <alignment horizontal="center" vertical="center"/>
    </xf>
    <xf numFmtId="164" fontId="4" fillId="4" borderId="23" xfId="0" applyNumberFormat="1" applyFont="1" applyFill="1" applyBorder="1" applyAlignment="1">
      <alignment horizontal="center" vertical="center"/>
    </xf>
    <xf numFmtId="0" fontId="4" fillId="0" borderId="22" xfId="1" applyFont="1" applyBorder="1" applyAlignment="1">
      <alignment horizontal="left" vertical="center"/>
    </xf>
    <xf numFmtId="1" fontId="8" fillId="0" borderId="2" xfId="0" applyNumberFormat="1" applyFont="1" applyBorder="1" applyAlignment="1">
      <alignment horizontal="center" vertical="center"/>
    </xf>
    <xf numFmtId="0" fontId="17" fillId="3" borderId="5" xfId="1" applyFont="1" applyFill="1" applyBorder="1" applyAlignment="1">
      <alignment horizontal="center" vertical="center"/>
    </xf>
    <xf numFmtId="20" fontId="17" fillId="3" borderId="5" xfId="6" applyNumberFormat="1" applyFont="1" applyFill="1" applyBorder="1" applyAlignment="1">
      <alignment horizontal="center" vertical="center" wrapText="1"/>
    </xf>
    <xf numFmtId="20" fontId="15" fillId="0" borderId="5" xfId="6" applyNumberFormat="1" applyFont="1" applyBorder="1" applyAlignment="1">
      <alignment horizontal="center" vertical="center" wrapText="1"/>
    </xf>
    <xf numFmtId="0" fontId="14" fillId="0" borderId="9" xfId="1" applyFont="1" applyBorder="1" applyAlignment="1">
      <alignment horizontal="center" vertical="center"/>
    </xf>
    <xf numFmtId="0" fontId="14" fillId="0" borderId="10" xfId="1" applyFont="1" applyBorder="1" applyAlignment="1">
      <alignment horizontal="center" vertical="center"/>
    </xf>
    <xf numFmtId="0" fontId="14" fillId="0" borderId="11" xfId="1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3" fillId="0" borderId="2" xfId="0" applyFont="1" applyBorder="1"/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4" fillId="0" borderId="2" xfId="1" applyFont="1" applyBorder="1" applyAlignment="1">
      <alignment horizontal="left" vertical="center" wrapText="1"/>
    </xf>
    <xf numFmtId="0" fontId="24" fillId="0" borderId="31" xfId="1" applyFont="1" applyBorder="1" applyAlignment="1">
      <alignment horizontal="left" vertical="center" wrapText="1"/>
    </xf>
    <xf numFmtId="0" fontId="25" fillId="3" borderId="2" xfId="1" applyFont="1" applyFill="1" applyBorder="1" applyAlignment="1">
      <alignment horizontal="left" vertical="center" wrapText="1"/>
    </xf>
    <xf numFmtId="0" fontId="25" fillId="3" borderId="0" xfId="1" applyFont="1" applyFill="1" applyAlignment="1">
      <alignment horizontal="left" vertical="center" wrapText="1"/>
    </xf>
    <xf numFmtId="0" fontId="8" fillId="0" borderId="0" xfId="0" applyFont="1"/>
    <xf numFmtId="0" fontId="4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24" fillId="0" borderId="13" xfId="1" applyFont="1" applyBorder="1" applyAlignment="1">
      <alignment horizontal="left" vertical="center"/>
    </xf>
    <xf numFmtId="0" fontId="25" fillId="0" borderId="21" xfId="1" applyFont="1" applyBorder="1" applyAlignment="1">
      <alignment horizontal="left" vertical="center"/>
    </xf>
    <xf numFmtId="0" fontId="25" fillId="0" borderId="18" xfId="1" applyFont="1" applyBorder="1" applyAlignment="1">
      <alignment horizontal="left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4" fillId="0" borderId="38" xfId="1" applyFont="1" applyBorder="1" applyAlignment="1">
      <alignment horizontal="center" vertical="center" wrapText="1"/>
    </xf>
    <xf numFmtId="1" fontId="5" fillId="0" borderId="39" xfId="6" applyNumberFormat="1" applyFont="1" applyBorder="1" applyAlignment="1">
      <alignment horizontal="center" vertical="center" wrapText="1"/>
    </xf>
    <xf numFmtId="1" fontId="5" fillId="0" borderId="40" xfId="6" applyNumberFormat="1" applyFont="1" applyBorder="1" applyAlignment="1">
      <alignment horizontal="center" vertical="center" wrapText="1"/>
    </xf>
    <xf numFmtId="0" fontId="17" fillId="3" borderId="16" xfId="1" applyFont="1" applyFill="1" applyBorder="1" applyAlignment="1">
      <alignment horizontal="center" vertical="center"/>
    </xf>
    <xf numFmtId="0" fontId="17" fillId="3" borderId="17" xfId="1" applyFont="1" applyFill="1" applyBorder="1" applyAlignment="1">
      <alignment horizontal="center" vertical="center"/>
    </xf>
    <xf numFmtId="0" fontId="17" fillId="3" borderId="41" xfId="1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2" borderId="33" xfId="0" applyFont="1" applyFill="1" applyBorder="1" applyAlignment="1">
      <alignment horizontal="center" vertical="center"/>
    </xf>
    <xf numFmtId="0" fontId="4" fillId="2" borderId="36" xfId="0" applyFont="1" applyFill="1" applyBorder="1" applyAlignment="1">
      <alignment horizontal="center" vertical="center" wrapText="1"/>
    </xf>
    <xf numFmtId="20" fontId="22" fillId="0" borderId="0" xfId="0" applyNumberFormat="1" applyFont="1" applyAlignment="1">
      <alignment vertical="center"/>
    </xf>
    <xf numFmtId="0" fontId="14" fillId="5" borderId="7" xfId="1" applyFont="1" applyFill="1" applyBorder="1" applyAlignment="1">
      <alignment vertical="center" wrapText="1"/>
    </xf>
    <xf numFmtId="0" fontId="14" fillId="5" borderId="8" xfId="1" applyFont="1" applyFill="1" applyBorder="1" applyAlignment="1">
      <alignment vertical="center" wrapText="1"/>
    </xf>
    <xf numFmtId="0" fontId="17" fillId="3" borderId="5" xfId="1" applyFont="1" applyFill="1" applyBorder="1" applyAlignment="1">
      <alignment horizontal="center" vertical="center" wrapText="1"/>
    </xf>
    <xf numFmtId="0" fontId="4" fillId="0" borderId="5" xfId="1" applyFont="1" applyBorder="1" applyAlignment="1">
      <alignment horizontal="left" vertical="center"/>
    </xf>
    <xf numFmtId="0" fontId="4" fillId="0" borderId="2" xfId="1" applyFont="1" applyBorder="1" applyAlignment="1">
      <alignment horizontal="left" vertical="center"/>
    </xf>
    <xf numFmtId="166" fontId="5" fillId="0" borderId="39" xfId="6" applyNumberFormat="1" applyFont="1" applyBorder="1" applyAlignment="1">
      <alignment horizontal="center" vertical="center" wrapText="1"/>
    </xf>
    <xf numFmtId="1" fontId="8" fillId="0" borderId="18" xfId="0" applyNumberFormat="1" applyFont="1" applyBorder="1" applyAlignment="1">
      <alignment horizontal="center" vertical="center"/>
    </xf>
    <xf numFmtId="1" fontId="8" fillId="0" borderId="19" xfId="0" applyNumberFormat="1" applyFont="1" applyBorder="1" applyAlignment="1">
      <alignment horizontal="center" vertical="center"/>
    </xf>
    <xf numFmtId="1" fontId="8" fillId="0" borderId="20" xfId="0" applyNumberFormat="1" applyFont="1" applyBorder="1" applyAlignment="1">
      <alignment horizontal="center" vertical="center"/>
    </xf>
    <xf numFmtId="164" fontId="4" fillId="4" borderId="44" xfId="0" applyNumberFormat="1" applyFont="1" applyFill="1" applyBorder="1" applyAlignment="1">
      <alignment horizontal="center" vertical="center"/>
    </xf>
    <xf numFmtId="164" fontId="4" fillId="4" borderId="35" xfId="0" applyNumberFormat="1" applyFont="1" applyFill="1" applyBorder="1" applyAlignment="1">
      <alignment horizontal="center" vertical="center"/>
    </xf>
    <xf numFmtId="164" fontId="4" fillId="4" borderId="45" xfId="0" applyNumberFormat="1" applyFont="1" applyFill="1" applyBorder="1" applyAlignment="1">
      <alignment horizontal="center" vertical="center"/>
    </xf>
    <xf numFmtId="0" fontId="1" fillId="6" borderId="42" xfId="0" applyFont="1" applyFill="1" applyBorder="1" applyAlignment="1">
      <alignment horizontal="center" vertical="center"/>
    </xf>
    <xf numFmtId="0" fontId="1" fillId="6" borderId="26" xfId="0" applyFont="1" applyFill="1" applyBorder="1" applyAlignment="1">
      <alignment horizontal="center" vertical="center"/>
    </xf>
    <xf numFmtId="0" fontId="1" fillId="6" borderId="27" xfId="0" applyFont="1" applyFill="1" applyBorder="1" applyAlignment="1">
      <alignment horizontal="center" vertical="center"/>
    </xf>
    <xf numFmtId="0" fontId="1" fillId="6" borderId="43" xfId="0" applyFont="1" applyFill="1" applyBorder="1" applyAlignment="1">
      <alignment horizontal="center" vertical="center"/>
    </xf>
    <xf numFmtId="0" fontId="1" fillId="6" borderId="21" xfId="0" applyFont="1" applyFill="1" applyBorder="1" applyAlignment="1">
      <alignment horizontal="center" vertical="center"/>
    </xf>
    <xf numFmtId="0" fontId="1" fillId="6" borderId="34" xfId="0" applyFont="1" applyFill="1" applyBorder="1" applyAlignment="1">
      <alignment horizontal="center" vertical="center"/>
    </xf>
    <xf numFmtId="0" fontId="25" fillId="3" borderId="0" xfId="1" applyFont="1" applyFill="1" applyAlignment="1">
      <alignment horizontal="center" vertical="center" wrapText="1"/>
    </xf>
    <xf numFmtId="0" fontId="21" fillId="7" borderId="24" xfId="0" applyFont="1" applyFill="1" applyBorder="1" applyAlignment="1">
      <alignment horizontal="center" vertical="center" wrapText="1"/>
    </xf>
    <xf numFmtId="0" fontId="21" fillId="7" borderId="26" xfId="0" applyFont="1" applyFill="1" applyBorder="1" applyAlignment="1">
      <alignment horizontal="center" vertical="center" wrapText="1"/>
    </xf>
    <xf numFmtId="0" fontId="21" fillId="7" borderId="27" xfId="0" applyFont="1" applyFill="1" applyBorder="1" applyAlignment="1">
      <alignment horizontal="center" vertical="center" wrapText="1"/>
    </xf>
    <xf numFmtId="0" fontId="21" fillId="7" borderId="25" xfId="0" applyFont="1" applyFill="1" applyBorder="1" applyAlignment="1">
      <alignment horizontal="center" vertical="center" wrapText="1"/>
    </xf>
    <xf numFmtId="0" fontId="21" fillId="7" borderId="21" xfId="0" applyFont="1" applyFill="1" applyBorder="1" applyAlignment="1">
      <alignment horizontal="center" vertical="center" wrapText="1"/>
    </xf>
    <xf numFmtId="0" fontId="21" fillId="7" borderId="34" xfId="0" applyFont="1" applyFill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37" xfId="1" applyFont="1" applyBorder="1" applyAlignment="1">
      <alignment horizontal="center" vertical="center" wrapText="1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11" fillId="0" borderId="0" xfId="1" applyFont="1" applyAlignment="1">
      <alignment horizontal="center" vertical="center" wrapText="1"/>
    </xf>
    <xf numFmtId="0" fontId="20" fillId="0" borderId="0" xfId="1" applyFont="1" applyAlignment="1">
      <alignment horizontal="center" vertical="center" wrapText="1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1" fillId="0" borderId="3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5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3" fillId="0" borderId="0" xfId="4" applyFont="1" applyAlignment="1">
      <alignment horizontal="left" vertical="center" wrapText="1"/>
    </xf>
    <xf numFmtId="0" fontId="7" fillId="0" borderId="0" xfId="5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7" fillId="0" borderId="0" xfId="4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/>
    <xf numFmtId="0" fontId="4" fillId="2" borderId="29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left" vertical="center" wrapText="1"/>
    </xf>
    <xf numFmtId="0" fontId="4" fillId="0" borderId="18" xfId="0" applyFont="1" applyBorder="1" applyAlignment="1">
      <alignment vertical="center"/>
    </xf>
    <xf numFmtId="0" fontId="4" fillId="0" borderId="19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/>
    </xf>
  </cellXfs>
  <cellStyles count="8">
    <cellStyle name="Normal" xfId="0" builtinId="0"/>
    <cellStyle name="Normal 2" xfId="1" xr:uid="{00000000-0005-0000-0000-000031000000}"/>
    <cellStyle name="Normal 2 2" xfId="2" xr:uid="{00000000-0005-0000-0000-000032000000}"/>
    <cellStyle name="Normal 3" xfId="3" xr:uid="{00000000-0005-0000-0000-000033000000}"/>
    <cellStyle name="Normal 3 10" xfId="4" xr:uid="{00000000-0005-0000-0000-000034000000}"/>
    <cellStyle name="Normal 3 10 2" xfId="5" xr:uid="{00000000-0005-0000-0000-000035000000}"/>
    <cellStyle name="Normal 34" xfId="6" xr:uid="{00000000-0005-0000-0000-000036000000}"/>
    <cellStyle name="Normal 34 2" xfId="7" xr:uid="{00000000-0005-0000-0000-000037000000}"/>
  </cellStyles>
  <dxfs count="0"/>
  <tableStyles count="0" defaultTableStyle="TableStyleMedium2" defaultPivotStyle="PivotStyleLight16"/>
  <colors>
    <mruColors>
      <color rgb="FF90307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209550</xdr:colOff>
      <xdr:row>0</xdr:row>
      <xdr:rowOff>66675</xdr:rowOff>
    </xdr:from>
    <xdr:ext cx="1272117" cy="695325"/>
    <xdr:pic>
      <xdr:nvPicPr>
        <xdr:cNvPr id="2" name="image2.png" descr="Logo MSM Formatos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20700" y="66675"/>
          <a:ext cx="1271905" cy="69532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3</xdr:col>
      <xdr:colOff>163286</xdr:colOff>
      <xdr:row>65</xdr:row>
      <xdr:rowOff>81643</xdr:rowOff>
    </xdr:from>
    <xdr:to>
      <xdr:col>7</xdr:col>
      <xdr:colOff>29165</xdr:colOff>
      <xdr:row>72</xdr:row>
      <xdr:rowOff>49894</xdr:rowOff>
    </xdr:to>
    <xdr:pic>
      <xdr:nvPicPr>
        <xdr:cNvPr id="4" name="Imagen 3" descr="f13891a8-f551-4d2c-852e-d220622c5110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4982845" y="12324715"/>
          <a:ext cx="1842770" cy="13493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79989013336588644"/>
  </sheetPr>
  <dimension ref="A1:AS73"/>
  <sheetViews>
    <sheetView showGridLines="0" tabSelected="1" topLeftCell="H28" zoomScale="80" zoomScaleNormal="80" workbookViewId="0">
      <selection activeCell="A31" sqref="A31"/>
    </sheetView>
  </sheetViews>
  <sheetFormatPr baseColWidth="10" defaultColWidth="11" defaultRowHeight="14.25"/>
  <cols>
    <col min="1" max="1" width="4.125" customWidth="1"/>
    <col min="2" max="2" width="23.375" customWidth="1"/>
    <col min="3" max="3" width="17.125" customWidth="1"/>
    <col min="4" max="6" width="6.5" customWidth="1"/>
    <col min="7" max="7" width="6.375" customWidth="1"/>
    <col min="8" max="8" width="6.5" customWidth="1"/>
    <col min="9" max="9" width="6.125" customWidth="1"/>
    <col min="10" max="10" width="7.375" customWidth="1"/>
    <col min="11" max="11" width="6.125" customWidth="1"/>
    <col min="12" max="12" width="4.75" customWidth="1"/>
    <col min="13" max="14" width="5.25" customWidth="1"/>
    <col min="15" max="15" width="5.125" customWidth="1"/>
    <col min="16" max="16" width="5.625" customWidth="1"/>
    <col min="17" max="18" width="4.125" customWidth="1"/>
    <col min="19" max="19" width="5.125" customWidth="1"/>
    <col min="20" max="20" width="4.5" customWidth="1"/>
    <col min="21" max="22" width="4.875" customWidth="1"/>
    <col min="23" max="24" width="5.25" customWidth="1"/>
    <col min="25" max="25" width="5.375" customWidth="1"/>
    <col min="26" max="27" width="4.5" customWidth="1"/>
    <col min="28" max="28" width="5.25" customWidth="1"/>
    <col min="29" max="30" width="4.5" customWidth="1"/>
    <col min="31" max="31" width="5.125" customWidth="1"/>
    <col min="32" max="32" width="5.375" customWidth="1"/>
    <col min="33" max="33" width="4.75" customWidth="1"/>
    <col min="34" max="34" width="4.5" customWidth="1"/>
    <col min="35" max="36" width="4.375" customWidth="1"/>
    <col min="37" max="38" width="5.875" customWidth="1"/>
    <col min="39" max="39" width="4.625" customWidth="1"/>
    <col min="40" max="40" width="5.5" customWidth="1"/>
    <col min="41" max="41" width="5.125" customWidth="1"/>
    <col min="42" max="42" width="4.5" customWidth="1"/>
    <col min="43" max="43" width="5" customWidth="1"/>
    <col min="44" max="44" width="5.375" customWidth="1"/>
    <col min="45" max="45" width="6.625" customWidth="1"/>
  </cols>
  <sheetData>
    <row r="1" spans="1:45" ht="23.25" customHeight="1">
      <c r="A1" s="1"/>
      <c r="B1" s="121"/>
      <c r="C1" s="130" t="s">
        <v>32</v>
      </c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0"/>
      <c r="AE1" s="130"/>
      <c r="AF1" s="130"/>
      <c r="AG1" s="130"/>
      <c r="AH1" s="130"/>
      <c r="AI1" s="130"/>
      <c r="AJ1" s="130"/>
      <c r="AK1" s="130"/>
      <c r="AL1" s="130"/>
      <c r="AM1" s="130"/>
      <c r="AN1" s="130"/>
      <c r="AO1" s="131" t="s">
        <v>0</v>
      </c>
      <c r="AP1" s="131"/>
      <c r="AQ1" s="131"/>
      <c r="AR1" s="131"/>
      <c r="AS1" s="131"/>
    </row>
    <row r="2" spans="1:45" ht="23.25" customHeight="1">
      <c r="A2" s="1"/>
      <c r="B2" s="122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130"/>
      <c r="AE2" s="130"/>
      <c r="AF2" s="130"/>
      <c r="AG2" s="130"/>
      <c r="AH2" s="130"/>
      <c r="AI2" s="130"/>
      <c r="AJ2" s="130"/>
      <c r="AK2" s="130"/>
      <c r="AL2" s="130"/>
      <c r="AM2" s="130"/>
      <c r="AN2" s="130"/>
      <c r="AO2" s="131" t="s">
        <v>1</v>
      </c>
      <c r="AP2" s="131"/>
      <c r="AQ2" s="131"/>
      <c r="AR2" s="131"/>
      <c r="AS2" s="131"/>
    </row>
    <row r="3" spans="1:45" ht="15.75" customHeight="1">
      <c r="A3" s="1"/>
      <c r="B3" s="122"/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30"/>
      <c r="AI3" s="130"/>
      <c r="AJ3" s="130"/>
      <c r="AK3" s="130"/>
      <c r="AL3" s="130"/>
      <c r="AM3" s="130"/>
      <c r="AN3" s="130"/>
      <c r="AO3" s="131" t="s">
        <v>2</v>
      </c>
      <c r="AP3" s="131"/>
      <c r="AQ3" s="131"/>
      <c r="AR3" s="131"/>
      <c r="AS3" s="131"/>
    </row>
    <row r="4" spans="1:45" ht="23.25" hidden="1" customHeight="1">
      <c r="A4" s="1"/>
      <c r="B4" s="122"/>
      <c r="C4" s="130"/>
      <c r="D4" s="130"/>
      <c r="E4" s="130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0"/>
      <c r="AJ4" s="130"/>
      <c r="AK4" s="130"/>
      <c r="AL4" s="130"/>
      <c r="AM4" s="130"/>
      <c r="AN4" s="130"/>
      <c r="AO4" s="53"/>
      <c r="AP4" s="53"/>
      <c r="AQ4" s="127" t="s">
        <v>3</v>
      </c>
      <c r="AR4" s="122"/>
      <c r="AS4" s="50"/>
    </row>
    <row r="5" spans="1:45" ht="16.5">
      <c r="A5" s="1"/>
      <c r="B5" s="51" t="s">
        <v>4</v>
      </c>
      <c r="C5" s="132" t="s">
        <v>5</v>
      </c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  <c r="AK5" s="132"/>
      <c r="AL5" s="132"/>
      <c r="AM5" s="132"/>
      <c r="AN5" s="132"/>
      <c r="AO5" s="132"/>
      <c r="AP5" s="132"/>
      <c r="AQ5" s="132"/>
      <c r="AR5" s="132"/>
      <c r="AS5" s="132"/>
    </row>
    <row r="6" spans="1:45" ht="16.5">
      <c r="A6" s="1"/>
      <c r="B6" s="51" t="s">
        <v>6</v>
      </c>
      <c r="C6" s="128" t="s">
        <v>51</v>
      </c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29"/>
      <c r="AL6" s="129"/>
      <c r="AM6" s="129"/>
      <c r="AN6" s="129"/>
      <c r="AO6" s="129"/>
      <c r="AP6" s="129"/>
      <c r="AQ6" s="129"/>
      <c r="AR6" s="129"/>
      <c r="AS6" s="129"/>
    </row>
    <row r="7" spans="1:45" ht="16.5">
      <c r="A7" s="1"/>
      <c r="B7" s="52" t="s">
        <v>33</v>
      </c>
      <c r="C7" s="128" t="s">
        <v>77</v>
      </c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9"/>
      <c r="Z7" s="129"/>
      <c r="AA7" s="129"/>
      <c r="AB7" s="129"/>
      <c r="AC7" s="129"/>
      <c r="AD7" s="129"/>
      <c r="AE7" s="129"/>
      <c r="AF7" s="129"/>
      <c r="AG7" s="129"/>
      <c r="AH7" s="129"/>
      <c r="AI7" s="129"/>
      <c r="AJ7" s="129"/>
      <c r="AK7" s="129"/>
      <c r="AL7" s="129"/>
      <c r="AM7" s="129"/>
      <c r="AN7" s="129"/>
      <c r="AO7" s="129"/>
      <c r="AP7" s="129"/>
      <c r="AQ7" s="129"/>
      <c r="AR7" s="129"/>
      <c r="AS7" s="129"/>
    </row>
    <row r="9" spans="1:45" ht="16.5" customHeight="1">
      <c r="A9" s="6"/>
      <c r="B9" s="97" t="s">
        <v>7</v>
      </c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97"/>
      <c r="AH9" s="97"/>
      <c r="AI9" s="97"/>
      <c r="AJ9" s="97"/>
      <c r="AK9" s="97"/>
      <c r="AL9" s="97"/>
      <c r="AM9" s="97"/>
      <c r="AN9" s="97"/>
      <c r="AO9" s="97"/>
      <c r="AP9" s="97"/>
      <c r="AQ9" s="97"/>
      <c r="AR9" s="97"/>
      <c r="AS9" s="97"/>
    </row>
    <row r="10" spans="1:45" ht="15.75" customHeight="1">
      <c r="A10" s="1"/>
      <c r="B10" s="123" t="s">
        <v>8</v>
      </c>
      <c r="C10" s="125" t="s">
        <v>34</v>
      </c>
      <c r="D10" s="64">
        <v>1</v>
      </c>
      <c r="E10" s="64">
        <v>2</v>
      </c>
      <c r="F10" s="113" t="s">
        <v>76</v>
      </c>
      <c r="G10" s="64">
        <v>3</v>
      </c>
      <c r="H10" s="64">
        <v>4</v>
      </c>
      <c r="I10" s="64">
        <v>5</v>
      </c>
      <c r="J10" s="64">
        <v>6</v>
      </c>
      <c r="K10" s="64">
        <v>7</v>
      </c>
      <c r="L10" s="64">
        <v>8</v>
      </c>
      <c r="M10" s="64">
        <v>9</v>
      </c>
      <c r="N10" s="113" t="s">
        <v>76</v>
      </c>
      <c r="O10" s="64">
        <v>10</v>
      </c>
      <c r="P10" s="64">
        <v>11</v>
      </c>
      <c r="Q10" s="64">
        <v>12</v>
      </c>
      <c r="R10" s="64">
        <v>13</v>
      </c>
      <c r="S10" s="64">
        <v>14</v>
      </c>
      <c r="T10" s="64">
        <v>15</v>
      </c>
      <c r="U10" s="64">
        <v>16</v>
      </c>
      <c r="V10" s="113" t="s">
        <v>76</v>
      </c>
      <c r="W10" s="64">
        <v>17</v>
      </c>
      <c r="X10" s="64">
        <v>18</v>
      </c>
      <c r="Y10" s="64">
        <v>19</v>
      </c>
      <c r="Z10" s="64">
        <v>20</v>
      </c>
      <c r="AA10" s="64">
        <v>21</v>
      </c>
      <c r="AB10" s="64">
        <v>22</v>
      </c>
      <c r="AC10" s="64">
        <v>23</v>
      </c>
      <c r="AD10" s="113" t="s">
        <v>76</v>
      </c>
      <c r="AE10" s="64">
        <v>24</v>
      </c>
      <c r="AF10" s="64">
        <v>25</v>
      </c>
      <c r="AG10" s="64">
        <v>26</v>
      </c>
      <c r="AH10" s="64">
        <v>27</v>
      </c>
      <c r="AI10" s="64">
        <v>28</v>
      </c>
      <c r="AJ10" s="64">
        <v>29</v>
      </c>
      <c r="AK10" s="64">
        <v>30</v>
      </c>
      <c r="AL10" s="111"/>
      <c r="AM10" s="67">
        <v>31</v>
      </c>
      <c r="AN10" s="111"/>
      <c r="AO10" s="98" t="s">
        <v>10</v>
      </c>
      <c r="AP10" s="99"/>
      <c r="AQ10" s="99"/>
      <c r="AR10" s="99"/>
      <c r="AS10" s="100"/>
    </row>
    <row r="11" spans="1:45" ht="15.75">
      <c r="A11" s="1"/>
      <c r="B11" s="124"/>
      <c r="C11" s="126"/>
      <c r="D11" s="66" t="s">
        <v>16</v>
      </c>
      <c r="E11" s="65" t="s">
        <v>11</v>
      </c>
      <c r="F11" s="114"/>
      <c r="G11" s="65" t="s">
        <v>12</v>
      </c>
      <c r="H11" s="64" t="s">
        <v>13</v>
      </c>
      <c r="I11" s="64" t="s">
        <v>13</v>
      </c>
      <c r="J11" s="64" t="s">
        <v>14</v>
      </c>
      <c r="K11" s="64" t="s">
        <v>15</v>
      </c>
      <c r="L11" s="64" t="s">
        <v>16</v>
      </c>
      <c r="M11" s="64" t="s">
        <v>11</v>
      </c>
      <c r="N11" s="114"/>
      <c r="O11" s="65" t="s">
        <v>12</v>
      </c>
      <c r="P11" s="64" t="s">
        <v>13</v>
      </c>
      <c r="Q11" s="64" t="s">
        <v>13</v>
      </c>
      <c r="R11" s="64" t="s">
        <v>14</v>
      </c>
      <c r="S11" s="64" t="s">
        <v>15</v>
      </c>
      <c r="T11" s="64" t="s">
        <v>16</v>
      </c>
      <c r="U11" s="64" t="s">
        <v>11</v>
      </c>
      <c r="V11" s="114"/>
      <c r="W11" s="65" t="s">
        <v>12</v>
      </c>
      <c r="X11" s="64" t="s">
        <v>13</v>
      </c>
      <c r="Y11" s="64" t="s">
        <v>13</v>
      </c>
      <c r="Z11" s="64" t="s">
        <v>14</v>
      </c>
      <c r="AA11" s="64" t="s">
        <v>15</v>
      </c>
      <c r="AB11" s="64" t="s">
        <v>16</v>
      </c>
      <c r="AC11" s="64" t="s">
        <v>11</v>
      </c>
      <c r="AD11" s="114"/>
      <c r="AE11" s="65" t="s">
        <v>12</v>
      </c>
      <c r="AF11" s="64" t="s">
        <v>13</v>
      </c>
      <c r="AG11" s="64" t="s">
        <v>13</v>
      </c>
      <c r="AH11" s="64" t="s">
        <v>14</v>
      </c>
      <c r="AI11" s="64" t="s">
        <v>15</v>
      </c>
      <c r="AJ11" s="64" t="s">
        <v>16</v>
      </c>
      <c r="AK11" s="64" t="s">
        <v>11</v>
      </c>
      <c r="AL11" s="112"/>
      <c r="AM11" s="68" t="s">
        <v>12</v>
      </c>
      <c r="AN11" s="112"/>
      <c r="AO11" s="101"/>
      <c r="AP11" s="102"/>
      <c r="AQ11" s="102"/>
      <c r="AR11" s="102"/>
      <c r="AS11" s="103"/>
    </row>
    <row r="12" spans="1:45" ht="16.5">
      <c r="A12" s="3"/>
      <c r="B12" s="54" t="s">
        <v>52</v>
      </c>
      <c r="C12" s="61" t="s">
        <v>65</v>
      </c>
      <c r="D12" s="5" t="s">
        <v>12</v>
      </c>
      <c r="E12" s="5" t="s">
        <v>12</v>
      </c>
      <c r="F12" s="5"/>
      <c r="G12" s="5" t="s">
        <v>11</v>
      </c>
      <c r="H12" s="5" t="s">
        <v>11</v>
      </c>
      <c r="I12" s="5" t="s">
        <v>11</v>
      </c>
      <c r="J12" s="5" t="s">
        <v>11</v>
      </c>
      <c r="K12" s="5" t="s">
        <v>12</v>
      </c>
      <c r="L12" s="5" t="s">
        <v>12</v>
      </c>
      <c r="M12" s="5" t="s">
        <v>12</v>
      </c>
      <c r="N12" s="5"/>
      <c r="O12" s="5" t="s">
        <v>11</v>
      </c>
      <c r="P12" s="5" t="s">
        <v>11</v>
      </c>
      <c r="Q12" s="5" t="s">
        <v>11</v>
      </c>
      <c r="R12" s="5" t="s">
        <v>11</v>
      </c>
      <c r="S12" s="5" t="s">
        <v>39</v>
      </c>
      <c r="T12" s="5" t="s">
        <v>12</v>
      </c>
      <c r="U12" s="5" t="s">
        <v>12</v>
      </c>
      <c r="V12" s="5"/>
      <c r="W12" s="5" t="s">
        <v>12</v>
      </c>
      <c r="X12" s="5" t="s">
        <v>11</v>
      </c>
      <c r="Y12" s="5" t="s">
        <v>11</v>
      </c>
      <c r="Z12" s="5" t="s">
        <v>11</v>
      </c>
      <c r="AA12" s="5" t="s">
        <v>39</v>
      </c>
      <c r="AB12" s="5" t="s">
        <v>12</v>
      </c>
      <c r="AC12" s="5" t="s">
        <v>12</v>
      </c>
      <c r="AD12" s="5"/>
      <c r="AE12" s="5" t="s">
        <v>11</v>
      </c>
      <c r="AF12" s="5" t="s">
        <v>11</v>
      </c>
      <c r="AG12" s="5" t="s">
        <v>11</v>
      </c>
      <c r="AH12" s="5" t="s">
        <v>11</v>
      </c>
      <c r="AI12" s="5" t="s">
        <v>39</v>
      </c>
      <c r="AJ12" s="5" t="s">
        <v>12</v>
      </c>
      <c r="AK12" s="5" t="s">
        <v>12</v>
      </c>
      <c r="AL12" s="49"/>
      <c r="AM12" s="5" t="s">
        <v>11</v>
      </c>
      <c r="AN12" s="49" t="s">
        <v>9</v>
      </c>
      <c r="AO12" s="106"/>
      <c r="AP12" s="107"/>
      <c r="AQ12" s="107"/>
      <c r="AR12" s="107"/>
      <c r="AS12" s="108"/>
    </row>
    <row r="13" spans="1:45" ht="16.5">
      <c r="A13" s="3"/>
      <c r="B13" s="54" t="s">
        <v>53</v>
      </c>
      <c r="C13" s="61" t="s">
        <v>66</v>
      </c>
      <c r="D13" s="5" t="s">
        <v>12</v>
      </c>
      <c r="E13" s="5" t="s">
        <v>12</v>
      </c>
      <c r="F13" s="5"/>
      <c r="G13" s="5" t="s">
        <v>11</v>
      </c>
      <c r="H13" s="5" t="s">
        <v>11</v>
      </c>
      <c r="I13" s="5" t="s">
        <v>11</v>
      </c>
      <c r="J13" s="5" t="s">
        <v>11</v>
      </c>
      <c r="K13" s="5" t="s">
        <v>12</v>
      </c>
      <c r="L13" s="5" t="s">
        <v>12</v>
      </c>
      <c r="M13" s="5" t="s">
        <v>12</v>
      </c>
      <c r="N13" s="5"/>
      <c r="O13" s="5" t="s">
        <v>11</v>
      </c>
      <c r="P13" s="5" t="s">
        <v>11</v>
      </c>
      <c r="Q13" s="5" t="s">
        <v>11</v>
      </c>
      <c r="R13" s="5" t="s">
        <v>11</v>
      </c>
      <c r="S13" s="5" t="s">
        <v>39</v>
      </c>
      <c r="T13" s="5" t="s">
        <v>12</v>
      </c>
      <c r="U13" s="5" t="s">
        <v>12</v>
      </c>
      <c r="V13" s="5"/>
      <c r="W13" s="5" t="s">
        <v>12</v>
      </c>
      <c r="X13" s="5" t="s">
        <v>11</v>
      </c>
      <c r="Y13" s="5" t="s">
        <v>11</v>
      </c>
      <c r="Z13" s="5" t="s">
        <v>11</v>
      </c>
      <c r="AA13" s="5" t="s">
        <v>39</v>
      </c>
      <c r="AB13" s="5" t="s">
        <v>12</v>
      </c>
      <c r="AC13" s="5" t="s">
        <v>12</v>
      </c>
      <c r="AD13" s="5"/>
      <c r="AE13" s="5" t="s">
        <v>11</v>
      </c>
      <c r="AF13" s="5" t="s">
        <v>11</v>
      </c>
      <c r="AG13" s="5" t="s">
        <v>11</v>
      </c>
      <c r="AH13" s="5" t="s">
        <v>11</v>
      </c>
      <c r="AI13" s="5" t="s">
        <v>39</v>
      </c>
      <c r="AJ13" s="5" t="s">
        <v>12</v>
      </c>
      <c r="AK13" s="5" t="s">
        <v>12</v>
      </c>
      <c r="AL13" s="49"/>
      <c r="AM13" s="5" t="s">
        <v>11</v>
      </c>
      <c r="AN13" s="49" t="s">
        <v>9</v>
      </c>
      <c r="AO13" s="106"/>
      <c r="AP13" s="107"/>
      <c r="AQ13" s="107"/>
      <c r="AR13" s="107"/>
      <c r="AS13" s="108"/>
    </row>
    <row r="14" spans="1:45" ht="16.5" customHeight="1">
      <c r="A14" s="3"/>
      <c r="B14" s="54" t="s">
        <v>54</v>
      </c>
      <c r="C14" s="61" t="s">
        <v>66</v>
      </c>
      <c r="D14" s="5" t="s">
        <v>12</v>
      </c>
      <c r="E14" s="5" t="s">
        <v>12</v>
      </c>
      <c r="F14" s="5"/>
      <c r="G14" s="5" t="s">
        <v>11</v>
      </c>
      <c r="H14" s="5" t="s">
        <v>11</v>
      </c>
      <c r="I14" s="5" t="s">
        <v>11</v>
      </c>
      <c r="J14" s="5" t="s">
        <v>11</v>
      </c>
      <c r="K14" s="5" t="s">
        <v>12</v>
      </c>
      <c r="L14" s="5" t="s">
        <v>12</v>
      </c>
      <c r="M14" s="5" t="s">
        <v>12</v>
      </c>
      <c r="N14" s="5"/>
      <c r="O14" s="5" t="s">
        <v>11</v>
      </c>
      <c r="P14" s="5" t="s">
        <v>11</v>
      </c>
      <c r="Q14" s="5" t="s">
        <v>11</v>
      </c>
      <c r="R14" s="5" t="s">
        <v>11</v>
      </c>
      <c r="S14" s="5" t="s">
        <v>39</v>
      </c>
      <c r="T14" s="5" t="s">
        <v>12</v>
      </c>
      <c r="U14" s="5" t="s">
        <v>12</v>
      </c>
      <c r="V14" s="5"/>
      <c r="W14" s="5" t="s">
        <v>12</v>
      </c>
      <c r="X14" s="5" t="s">
        <v>11</v>
      </c>
      <c r="Y14" s="5" t="s">
        <v>11</v>
      </c>
      <c r="Z14" s="5" t="s">
        <v>11</v>
      </c>
      <c r="AA14" s="5" t="s">
        <v>39</v>
      </c>
      <c r="AB14" s="5" t="s">
        <v>12</v>
      </c>
      <c r="AC14" s="5" t="s">
        <v>12</v>
      </c>
      <c r="AD14" s="5"/>
      <c r="AE14" s="5" t="s">
        <v>11</v>
      </c>
      <c r="AF14" s="5" t="s">
        <v>11</v>
      </c>
      <c r="AG14" s="5" t="s">
        <v>11</v>
      </c>
      <c r="AH14" s="5" t="s">
        <v>11</v>
      </c>
      <c r="AI14" s="5" t="s">
        <v>39</v>
      </c>
      <c r="AJ14" s="5" t="s">
        <v>12</v>
      </c>
      <c r="AK14" s="5" t="s">
        <v>12</v>
      </c>
      <c r="AL14" s="49"/>
      <c r="AM14" s="5" t="s">
        <v>11</v>
      </c>
      <c r="AN14" s="49" t="s">
        <v>9</v>
      </c>
      <c r="AO14" s="106"/>
      <c r="AP14" s="107"/>
      <c r="AQ14" s="107"/>
      <c r="AR14" s="107"/>
      <c r="AS14" s="108"/>
    </row>
    <row r="15" spans="1:45" ht="16.5">
      <c r="A15" s="3"/>
      <c r="B15" s="54" t="s">
        <v>55</v>
      </c>
      <c r="C15" s="61" t="s">
        <v>67</v>
      </c>
      <c r="D15" s="5" t="s">
        <v>12</v>
      </c>
      <c r="E15" s="5" t="s">
        <v>12</v>
      </c>
      <c r="F15" s="5"/>
      <c r="G15" s="5" t="s">
        <v>11</v>
      </c>
      <c r="H15" s="5" t="s">
        <v>11</v>
      </c>
      <c r="I15" s="5" t="s">
        <v>11</v>
      </c>
      <c r="J15" s="5" t="s">
        <v>11</v>
      </c>
      <c r="K15" s="5" t="s">
        <v>12</v>
      </c>
      <c r="L15" s="5" t="s">
        <v>12</v>
      </c>
      <c r="M15" s="5" t="s">
        <v>12</v>
      </c>
      <c r="N15" s="5"/>
      <c r="O15" s="5" t="s">
        <v>11</v>
      </c>
      <c r="P15" s="5" t="s">
        <v>11</v>
      </c>
      <c r="Q15" s="5" t="s">
        <v>11</v>
      </c>
      <c r="R15" s="5" t="s">
        <v>11</v>
      </c>
      <c r="S15" s="5" t="s">
        <v>39</v>
      </c>
      <c r="T15" s="5" t="s">
        <v>12</v>
      </c>
      <c r="U15" s="5" t="s">
        <v>12</v>
      </c>
      <c r="V15" s="5"/>
      <c r="W15" s="5" t="s">
        <v>12</v>
      </c>
      <c r="X15" s="5" t="s">
        <v>11</v>
      </c>
      <c r="Y15" s="5" t="s">
        <v>11</v>
      </c>
      <c r="Z15" s="5" t="s">
        <v>11</v>
      </c>
      <c r="AA15" s="5" t="s">
        <v>39</v>
      </c>
      <c r="AB15" s="5" t="s">
        <v>12</v>
      </c>
      <c r="AC15" s="5" t="s">
        <v>12</v>
      </c>
      <c r="AD15" s="5"/>
      <c r="AE15" s="5" t="s">
        <v>11</v>
      </c>
      <c r="AF15" s="5" t="s">
        <v>11</v>
      </c>
      <c r="AG15" s="5" t="s">
        <v>11</v>
      </c>
      <c r="AH15" s="5" t="s">
        <v>11</v>
      </c>
      <c r="AI15" s="5" t="s">
        <v>39</v>
      </c>
      <c r="AJ15" s="5" t="s">
        <v>12</v>
      </c>
      <c r="AK15" s="5" t="s">
        <v>12</v>
      </c>
      <c r="AL15" s="49"/>
      <c r="AM15" s="5" t="s">
        <v>11</v>
      </c>
      <c r="AN15" s="49" t="s">
        <v>9</v>
      </c>
      <c r="AO15" s="106"/>
      <c r="AP15" s="107"/>
      <c r="AQ15" s="107"/>
      <c r="AR15" s="107"/>
      <c r="AS15" s="108"/>
    </row>
    <row r="16" spans="1:45" ht="16.5">
      <c r="A16" s="3"/>
      <c r="B16" s="54" t="s">
        <v>56</v>
      </c>
      <c r="C16" s="61" t="s">
        <v>67</v>
      </c>
      <c r="D16" s="5" t="s">
        <v>12</v>
      </c>
      <c r="E16" s="5" t="s">
        <v>12</v>
      </c>
      <c r="F16" s="5"/>
      <c r="G16" s="5" t="s">
        <v>11</v>
      </c>
      <c r="H16" s="5" t="s">
        <v>11</v>
      </c>
      <c r="I16" s="5" t="s">
        <v>11</v>
      </c>
      <c r="J16" s="5" t="s">
        <v>11</v>
      </c>
      <c r="K16" s="5" t="s">
        <v>12</v>
      </c>
      <c r="L16" s="5" t="s">
        <v>12</v>
      </c>
      <c r="M16" s="5" t="s">
        <v>12</v>
      </c>
      <c r="N16" s="5"/>
      <c r="O16" s="5" t="s">
        <v>11</v>
      </c>
      <c r="P16" s="5" t="s">
        <v>11</v>
      </c>
      <c r="Q16" s="5" t="s">
        <v>11</v>
      </c>
      <c r="R16" s="5" t="s">
        <v>11</v>
      </c>
      <c r="S16" s="5" t="s">
        <v>39</v>
      </c>
      <c r="T16" s="5" t="s">
        <v>12</v>
      </c>
      <c r="U16" s="5" t="s">
        <v>12</v>
      </c>
      <c r="V16" s="5"/>
      <c r="W16" s="5" t="s">
        <v>12</v>
      </c>
      <c r="X16" s="5" t="s">
        <v>11</v>
      </c>
      <c r="Y16" s="5" t="s">
        <v>11</v>
      </c>
      <c r="Z16" s="5" t="s">
        <v>11</v>
      </c>
      <c r="AA16" s="5" t="s">
        <v>39</v>
      </c>
      <c r="AB16" s="5" t="s">
        <v>12</v>
      </c>
      <c r="AC16" s="5" t="s">
        <v>12</v>
      </c>
      <c r="AD16" s="5"/>
      <c r="AE16" s="5" t="s">
        <v>11</v>
      </c>
      <c r="AF16" s="5" t="s">
        <v>11</v>
      </c>
      <c r="AG16" s="5" t="s">
        <v>11</v>
      </c>
      <c r="AH16" s="5" t="s">
        <v>11</v>
      </c>
      <c r="AI16" s="5" t="s">
        <v>39</v>
      </c>
      <c r="AJ16" s="5" t="s">
        <v>12</v>
      </c>
      <c r="AK16" s="5" t="s">
        <v>12</v>
      </c>
      <c r="AL16" s="49"/>
      <c r="AM16" s="5" t="s">
        <v>11</v>
      </c>
      <c r="AN16" s="49" t="s">
        <v>9</v>
      </c>
      <c r="AO16" s="106"/>
      <c r="AP16" s="107"/>
      <c r="AQ16" s="107"/>
      <c r="AR16" s="107"/>
      <c r="AS16" s="108"/>
    </row>
    <row r="17" spans="1:45" ht="16.5">
      <c r="A17" s="3"/>
      <c r="B17" s="54" t="s">
        <v>57</v>
      </c>
      <c r="C17" s="61" t="s">
        <v>69</v>
      </c>
      <c r="D17" s="5" t="s">
        <v>12</v>
      </c>
      <c r="E17" s="5" t="s">
        <v>12</v>
      </c>
      <c r="F17" s="5"/>
      <c r="G17" s="5" t="s">
        <v>11</v>
      </c>
      <c r="H17" s="5" t="s">
        <v>11</v>
      </c>
      <c r="I17" s="5" t="s">
        <v>11</v>
      </c>
      <c r="J17" s="5" t="s">
        <v>11</v>
      </c>
      <c r="K17" s="5" t="s">
        <v>12</v>
      </c>
      <c r="L17" s="5" t="s">
        <v>12</v>
      </c>
      <c r="M17" s="5" t="s">
        <v>12</v>
      </c>
      <c r="N17" s="5"/>
      <c r="O17" s="5" t="s">
        <v>11</v>
      </c>
      <c r="P17" s="5" t="s">
        <v>11</v>
      </c>
      <c r="Q17" s="5" t="s">
        <v>11</v>
      </c>
      <c r="R17" s="5" t="s">
        <v>11</v>
      </c>
      <c r="S17" s="5" t="s">
        <v>39</v>
      </c>
      <c r="T17" s="5" t="s">
        <v>12</v>
      </c>
      <c r="U17" s="5" t="s">
        <v>12</v>
      </c>
      <c r="V17" s="5"/>
      <c r="W17" s="5" t="s">
        <v>12</v>
      </c>
      <c r="X17" s="5" t="s">
        <v>11</v>
      </c>
      <c r="Y17" s="5" t="s">
        <v>11</v>
      </c>
      <c r="Z17" s="5" t="s">
        <v>11</v>
      </c>
      <c r="AA17" s="5" t="s">
        <v>39</v>
      </c>
      <c r="AB17" s="5" t="s">
        <v>12</v>
      </c>
      <c r="AC17" s="5" t="s">
        <v>12</v>
      </c>
      <c r="AD17" s="5"/>
      <c r="AE17" s="5" t="s">
        <v>11</v>
      </c>
      <c r="AF17" s="5" t="s">
        <v>11</v>
      </c>
      <c r="AG17" s="5" t="s">
        <v>11</v>
      </c>
      <c r="AH17" s="5" t="s">
        <v>11</v>
      </c>
      <c r="AI17" s="5" t="s">
        <v>39</v>
      </c>
      <c r="AJ17" s="5" t="s">
        <v>12</v>
      </c>
      <c r="AK17" s="5" t="s">
        <v>12</v>
      </c>
      <c r="AL17" s="49"/>
      <c r="AM17" s="5" t="s">
        <v>11</v>
      </c>
      <c r="AN17" s="49" t="s">
        <v>9</v>
      </c>
      <c r="AO17" s="106"/>
      <c r="AP17" s="107"/>
      <c r="AQ17" s="107"/>
      <c r="AR17" s="107"/>
      <c r="AS17" s="108"/>
    </row>
    <row r="18" spans="1:45" ht="16.5">
      <c r="A18" s="3"/>
      <c r="B18" s="55" t="s">
        <v>58</v>
      </c>
      <c r="C18" s="61" t="s">
        <v>68</v>
      </c>
      <c r="D18" s="5" t="s">
        <v>12</v>
      </c>
      <c r="E18" s="5" t="s">
        <v>12</v>
      </c>
      <c r="F18" s="5"/>
      <c r="G18" s="5" t="s">
        <v>11</v>
      </c>
      <c r="H18" s="5" t="s">
        <v>11</v>
      </c>
      <c r="I18" s="5" t="s">
        <v>11</v>
      </c>
      <c r="J18" s="5" t="s">
        <v>11</v>
      </c>
      <c r="K18" s="5" t="s">
        <v>12</v>
      </c>
      <c r="L18" s="5" t="s">
        <v>12</v>
      </c>
      <c r="M18" s="5" t="s">
        <v>12</v>
      </c>
      <c r="N18" s="5"/>
      <c r="O18" s="5" t="s">
        <v>11</v>
      </c>
      <c r="P18" s="5" t="s">
        <v>11</v>
      </c>
      <c r="Q18" s="5" t="s">
        <v>11</v>
      </c>
      <c r="R18" s="5" t="s">
        <v>11</v>
      </c>
      <c r="S18" s="5" t="s">
        <v>39</v>
      </c>
      <c r="T18" s="5" t="s">
        <v>12</v>
      </c>
      <c r="U18" s="5" t="s">
        <v>12</v>
      </c>
      <c r="V18" s="5"/>
      <c r="W18" s="5" t="s">
        <v>12</v>
      </c>
      <c r="X18" s="5" t="s">
        <v>11</v>
      </c>
      <c r="Y18" s="5" t="s">
        <v>11</v>
      </c>
      <c r="Z18" s="5" t="s">
        <v>11</v>
      </c>
      <c r="AA18" s="5" t="s">
        <v>39</v>
      </c>
      <c r="AB18" s="5" t="s">
        <v>12</v>
      </c>
      <c r="AC18" s="5" t="s">
        <v>12</v>
      </c>
      <c r="AD18" s="5"/>
      <c r="AE18" s="5" t="s">
        <v>11</v>
      </c>
      <c r="AF18" s="5" t="s">
        <v>11</v>
      </c>
      <c r="AG18" s="5" t="s">
        <v>11</v>
      </c>
      <c r="AH18" s="5" t="s">
        <v>11</v>
      </c>
      <c r="AI18" s="5" t="s">
        <v>39</v>
      </c>
      <c r="AJ18" s="5" t="s">
        <v>12</v>
      </c>
      <c r="AK18" s="5" t="s">
        <v>12</v>
      </c>
      <c r="AL18" s="49"/>
      <c r="AM18" s="5" t="s">
        <v>11</v>
      </c>
      <c r="AN18" s="49" t="s">
        <v>9</v>
      </c>
      <c r="AO18" s="106"/>
      <c r="AP18" s="107"/>
      <c r="AQ18" s="107"/>
      <c r="AR18" s="107"/>
      <c r="AS18" s="108"/>
    </row>
    <row r="19" spans="1:45" ht="16.5">
      <c r="A19" s="3"/>
      <c r="B19" s="56" t="s">
        <v>59</v>
      </c>
      <c r="C19" s="61" t="s">
        <v>70</v>
      </c>
      <c r="D19" s="5" t="s">
        <v>12</v>
      </c>
      <c r="E19" s="5" t="s">
        <v>12</v>
      </c>
      <c r="F19" s="5"/>
      <c r="G19" s="5" t="s">
        <v>37</v>
      </c>
      <c r="H19" s="5" t="s">
        <v>38</v>
      </c>
      <c r="I19" s="5" t="s">
        <v>37</v>
      </c>
      <c r="J19" s="5" t="s">
        <v>38</v>
      </c>
      <c r="K19" s="5" t="s">
        <v>12</v>
      </c>
      <c r="L19" s="5" t="s">
        <v>12</v>
      </c>
      <c r="M19" s="5" t="s">
        <v>12</v>
      </c>
      <c r="N19" s="5"/>
      <c r="O19" s="5" t="s">
        <v>37</v>
      </c>
      <c r="P19" s="5" t="s">
        <v>38</v>
      </c>
      <c r="Q19" s="5" t="s">
        <v>37</v>
      </c>
      <c r="R19" s="5" t="s">
        <v>38</v>
      </c>
      <c r="S19" s="5" t="s">
        <v>37</v>
      </c>
      <c r="T19" s="5" t="s">
        <v>12</v>
      </c>
      <c r="U19" s="5" t="s">
        <v>12</v>
      </c>
      <c r="V19" s="5"/>
      <c r="W19" s="5" t="s">
        <v>12</v>
      </c>
      <c r="X19" s="5" t="s">
        <v>38</v>
      </c>
      <c r="Y19" s="5" t="s">
        <v>37</v>
      </c>
      <c r="Z19" s="5" t="s">
        <v>38</v>
      </c>
      <c r="AA19" s="5" t="s">
        <v>37</v>
      </c>
      <c r="AB19" s="5" t="s">
        <v>12</v>
      </c>
      <c r="AC19" s="5" t="s">
        <v>12</v>
      </c>
      <c r="AD19" s="5"/>
      <c r="AE19" s="5" t="s">
        <v>38</v>
      </c>
      <c r="AF19" s="5" t="s">
        <v>37</v>
      </c>
      <c r="AG19" s="5" t="s">
        <v>38</v>
      </c>
      <c r="AH19" s="5" t="s">
        <v>37</v>
      </c>
      <c r="AI19" s="5" t="s">
        <v>38</v>
      </c>
      <c r="AJ19" s="5" t="s">
        <v>12</v>
      </c>
      <c r="AK19" s="5" t="s">
        <v>12</v>
      </c>
      <c r="AL19" s="49"/>
      <c r="AM19" s="5" t="s">
        <v>37</v>
      </c>
      <c r="AN19" s="49" t="s">
        <v>9</v>
      </c>
      <c r="AO19" s="106"/>
      <c r="AP19" s="107"/>
      <c r="AQ19" s="107"/>
      <c r="AR19" s="107"/>
      <c r="AS19" s="108"/>
    </row>
    <row r="20" spans="1:45" ht="16.5">
      <c r="A20" s="3"/>
      <c r="B20" s="56" t="s">
        <v>60</v>
      </c>
      <c r="C20" s="61" t="s">
        <v>71</v>
      </c>
      <c r="D20" s="5" t="s">
        <v>12</v>
      </c>
      <c r="E20" s="5" t="s">
        <v>12</v>
      </c>
      <c r="F20" s="5"/>
      <c r="G20" s="5" t="s">
        <v>38</v>
      </c>
      <c r="H20" s="5" t="s">
        <v>37</v>
      </c>
      <c r="I20" s="5" t="s">
        <v>38</v>
      </c>
      <c r="J20" s="5" t="s">
        <v>49</v>
      </c>
      <c r="K20" s="5" t="s">
        <v>12</v>
      </c>
      <c r="L20" s="5" t="s">
        <v>12</v>
      </c>
      <c r="M20" s="5" t="s">
        <v>12</v>
      </c>
      <c r="N20" s="5"/>
      <c r="O20" s="5" t="s">
        <v>38</v>
      </c>
      <c r="P20" s="5" t="s">
        <v>37</v>
      </c>
      <c r="Q20" s="5" t="s">
        <v>38</v>
      </c>
      <c r="R20" s="5" t="s">
        <v>37</v>
      </c>
      <c r="S20" s="5" t="s">
        <v>38</v>
      </c>
      <c r="T20" s="5" t="s">
        <v>12</v>
      </c>
      <c r="U20" s="5" t="s">
        <v>12</v>
      </c>
      <c r="V20" s="5"/>
      <c r="W20" s="5" t="s">
        <v>12</v>
      </c>
      <c r="X20" s="5" t="s">
        <v>37</v>
      </c>
      <c r="Y20" s="5" t="s">
        <v>38</v>
      </c>
      <c r="Z20" s="5" t="s">
        <v>49</v>
      </c>
      <c r="AA20" s="5" t="s">
        <v>38</v>
      </c>
      <c r="AB20" s="5" t="s">
        <v>12</v>
      </c>
      <c r="AC20" s="5" t="s">
        <v>12</v>
      </c>
      <c r="AD20" s="5"/>
      <c r="AE20" s="5" t="s">
        <v>49</v>
      </c>
      <c r="AF20" s="5" t="s">
        <v>38</v>
      </c>
      <c r="AG20" s="5" t="s">
        <v>37</v>
      </c>
      <c r="AH20" s="5" t="s">
        <v>38</v>
      </c>
      <c r="AI20" s="5" t="s">
        <v>49</v>
      </c>
      <c r="AJ20" s="5" t="s">
        <v>12</v>
      </c>
      <c r="AK20" s="5" t="s">
        <v>12</v>
      </c>
      <c r="AL20" s="49"/>
      <c r="AM20" s="5" t="s">
        <v>38</v>
      </c>
      <c r="AN20" s="49" t="s">
        <v>9</v>
      </c>
      <c r="AO20" s="106"/>
      <c r="AP20" s="107"/>
      <c r="AQ20" s="107"/>
      <c r="AR20" s="107"/>
      <c r="AS20" s="108"/>
    </row>
    <row r="21" spans="1:45" ht="16.5">
      <c r="A21" s="3"/>
      <c r="B21" s="56" t="s">
        <v>61</v>
      </c>
      <c r="C21" s="62" t="s">
        <v>72</v>
      </c>
      <c r="D21" s="5" t="s">
        <v>12</v>
      </c>
      <c r="E21" s="5" t="s">
        <v>12</v>
      </c>
      <c r="F21" s="5"/>
      <c r="G21" s="5" t="s">
        <v>11</v>
      </c>
      <c r="H21" s="5" t="s">
        <v>11</v>
      </c>
      <c r="I21" s="5" t="s">
        <v>11</v>
      </c>
      <c r="J21" s="5" t="s">
        <v>11</v>
      </c>
      <c r="K21" s="5" t="s">
        <v>12</v>
      </c>
      <c r="L21" s="5" t="s">
        <v>12</v>
      </c>
      <c r="M21" s="5" t="s">
        <v>12</v>
      </c>
      <c r="N21" s="5"/>
      <c r="O21" s="5" t="s">
        <v>11</v>
      </c>
      <c r="P21" s="5" t="s">
        <v>11</v>
      </c>
      <c r="Q21" s="5" t="s">
        <v>11</v>
      </c>
      <c r="R21" s="5" t="s">
        <v>11</v>
      </c>
      <c r="S21" s="5" t="s">
        <v>39</v>
      </c>
      <c r="T21" s="5" t="s">
        <v>12</v>
      </c>
      <c r="U21" s="5" t="s">
        <v>12</v>
      </c>
      <c r="V21" s="5"/>
      <c r="W21" s="5" t="s">
        <v>12</v>
      </c>
      <c r="X21" s="5" t="s">
        <v>11</v>
      </c>
      <c r="Y21" s="5" t="s">
        <v>11</v>
      </c>
      <c r="Z21" s="5" t="s">
        <v>11</v>
      </c>
      <c r="AA21" s="5" t="s">
        <v>39</v>
      </c>
      <c r="AB21" s="5" t="s">
        <v>12</v>
      </c>
      <c r="AC21" s="5" t="s">
        <v>12</v>
      </c>
      <c r="AD21" s="5"/>
      <c r="AE21" s="5" t="s">
        <v>11</v>
      </c>
      <c r="AF21" s="5" t="s">
        <v>11</v>
      </c>
      <c r="AG21" s="5" t="s">
        <v>11</v>
      </c>
      <c r="AH21" s="5" t="s">
        <v>11</v>
      </c>
      <c r="AI21" s="5" t="s">
        <v>39</v>
      </c>
      <c r="AJ21" s="5" t="s">
        <v>12</v>
      </c>
      <c r="AK21" s="5" t="s">
        <v>12</v>
      </c>
      <c r="AL21" s="49"/>
      <c r="AM21" s="5" t="s">
        <v>11</v>
      </c>
      <c r="AN21" s="49" t="s">
        <v>9</v>
      </c>
      <c r="AO21" s="106"/>
      <c r="AP21" s="107"/>
      <c r="AQ21" s="107"/>
      <c r="AR21" s="107"/>
      <c r="AS21" s="108"/>
    </row>
    <row r="22" spans="1:45" ht="16.5">
      <c r="A22" s="3"/>
      <c r="B22" s="56" t="s">
        <v>62</v>
      </c>
      <c r="C22" s="62" t="s">
        <v>73</v>
      </c>
      <c r="D22" s="5" t="s">
        <v>12</v>
      </c>
      <c r="E22" s="5" t="s">
        <v>12</v>
      </c>
      <c r="F22" s="5"/>
      <c r="G22" s="5" t="s">
        <v>11</v>
      </c>
      <c r="H22" s="5" t="s">
        <v>11</v>
      </c>
      <c r="I22" s="5" t="s">
        <v>11</v>
      </c>
      <c r="J22" s="5" t="s">
        <v>11</v>
      </c>
      <c r="K22" s="5" t="s">
        <v>12</v>
      </c>
      <c r="L22" s="5" t="s">
        <v>12</v>
      </c>
      <c r="M22" s="5" t="s">
        <v>12</v>
      </c>
      <c r="N22" s="5"/>
      <c r="O22" s="5" t="s">
        <v>11</v>
      </c>
      <c r="P22" s="5" t="s">
        <v>11</v>
      </c>
      <c r="Q22" s="5" t="s">
        <v>11</v>
      </c>
      <c r="R22" s="5" t="s">
        <v>11</v>
      </c>
      <c r="S22" s="5" t="s">
        <v>39</v>
      </c>
      <c r="T22" s="5" t="s">
        <v>12</v>
      </c>
      <c r="U22" s="5" t="s">
        <v>12</v>
      </c>
      <c r="V22" s="5"/>
      <c r="W22" s="5" t="s">
        <v>12</v>
      </c>
      <c r="X22" s="5" t="s">
        <v>11</v>
      </c>
      <c r="Y22" s="5" t="s">
        <v>11</v>
      </c>
      <c r="Z22" s="5" t="s">
        <v>11</v>
      </c>
      <c r="AA22" s="5" t="s">
        <v>39</v>
      </c>
      <c r="AB22" s="5" t="s">
        <v>12</v>
      </c>
      <c r="AC22" s="5" t="s">
        <v>12</v>
      </c>
      <c r="AD22" s="5"/>
      <c r="AE22" s="5" t="s">
        <v>11</v>
      </c>
      <c r="AF22" s="5" t="s">
        <v>11</v>
      </c>
      <c r="AG22" s="5" t="s">
        <v>11</v>
      </c>
      <c r="AH22" s="5" t="s">
        <v>11</v>
      </c>
      <c r="AI22" s="5" t="s">
        <v>39</v>
      </c>
      <c r="AJ22" s="5" t="s">
        <v>12</v>
      </c>
      <c r="AK22" s="5" t="s">
        <v>12</v>
      </c>
      <c r="AL22" s="49"/>
      <c r="AM22" s="5" t="s">
        <v>11</v>
      </c>
      <c r="AN22" s="49" t="s">
        <v>9</v>
      </c>
      <c r="AO22" s="106"/>
      <c r="AP22" s="107"/>
      <c r="AQ22" s="107"/>
      <c r="AR22" s="107"/>
      <c r="AS22" s="108"/>
    </row>
    <row r="23" spans="1:45" ht="16.5">
      <c r="A23" s="3"/>
      <c r="B23" s="56" t="s">
        <v>63</v>
      </c>
      <c r="C23" s="62" t="s">
        <v>74</v>
      </c>
      <c r="D23" s="5" t="s">
        <v>12</v>
      </c>
      <c r="E23" s="5" t="s">
        <v>12</v>
      </c>
      <c r="F23" s="5"/>
      <c r="G23" s="5" t="s">
        <v>11</v>
      </c>
      <c r="H23" s="5" t="s">
        <v>11</v>
      </c>
      <c r="I23" s="5" t="s">
        <v>11</v>
      </c>
      <c r="J23" s="5" t="s">
        <v>11</v>
      </c>
      <c r="K23" s="5" t="s">
        <v>12</v>
      </c>
      <c r="L23" s="5" t="s">
        <v>12</v>
      </c>
      <c r="M23" s="5" t="s">
        <v>12</v>
      </c>
      <c r="N23" s="5"/>
      <c r="O23" s="5" t="s">
        <v>11</v>
      </c>
      <c r="P23" s="5" t="s">
        <v>11</v>
      </c>
      <c r="Q23" s="5" t="s">
        <v>11</v>
      </c>
      <c r="R23" s="5" t="s">
        <v>11</v>
      </c>
      <c r="S23" s="5" t="s">
        <v>39</v>
      </c>
      <c r="T23" s="5" t="s">
        <v>12</v>
      </c>
      <c r="U23" s="5" t="s">
        <v>12</v>
      </c>
      <c r="V23" s="5"/>
      <c r="W23" s="5" t="s">
        <v>12</v>
      </c>
      <c r="X23" s="5" t="s">
        <v>11</v>
      </c>
      <c r="Y23" s="5" t="s">
        <v>11</v>
      </c>
      <c r="Z23" s="5" t="s">
        <v>11</v>
      </c>
      <c r="AA23" s="5" t="s">
        <v>39</v>
      </c>
      <c r="AB23" s="5" t="s">
        <v>12</v>
      </c>
      <c r="AC23" s="5" t="s">
        <v>12</v>
      </c>
      <c r="AD23" s="5"/>
      <c r="AE23" s="5" t="s">
        <v>11</v>
      </c>
      <c r="AF23" s="5" t="s">
        <v>11</v>
      </c>
      <c r="AG23" s="5" t="s">
        <v>11</v>
      </c>
      <c r="AH23" s="5" t="s">
        <v>11</v>
      </c>
      <c r="AI23" s="5" t="s">
        <v>39</v>
      </c>
      <c r="AJ23" s="5" t="s">
        <v>12</v>
      </c>
      <c r="AK23" s="5" t="s">
        <v>12</v>
      </c>
      <c r="AL23" s="49"/>
      <c r="AM23" s="5" t="s">
        <v>11</v>
      </c>
      <c r="AN23" s="49" t="s">
        <v>9</v>
      </c>
      <c r="AO23" s="106"/>
      <c r="AP23" s="107"/>
      <c r="AQ23" s="107"/>
      <c r="AR23" s="107"/>
      <c r="AS23" s="108"/>
    </row>
    <row r="24" spans="1:45" ht="16.5">
      <c r="A24" s="3"/>
      <c r="B24" s="56" t="s">
        <v>64</v>
      </c>
      <c r="C24" s="63" t="s">
        <v>75</v>
      </c>
      <c r="D24" s="5" t="s">
        <v>12</v>
      </c>
      <c r="E24" s="5" t="s">
        <v>12</v>
      </c>
      <c r="F24" s="5"/>
      <c r="G24" s="5" t="s">
        <v>11</v>
      </c>
      <c r="H24" s="5" t="s">
        <v>11</v>
      </c>
      <c r="I24" s="5" t="s">
        <v>11</v>
      </c>
      <c r="J24" s="5" t="s">
        <v>11</v>
      </c>
      <c r="K24" s="5" t="s">
        <v>12</v>
      </c>
      <c r="L24" s="5" t="s">
        <v>12</v>
      </c>
      <c r="M24" s="5" t="s">
        <v>12</v>
      </c>
      <c r="N24" s="5"/>
      <c r="O24" s="5" t="s">
        <v>11</v>
      </c>
      <c r="P24" s="5" t="s">
        <v>11</v>
      </c>
      <c r="Q24" s="5" t="s">
        <v>11</v>
      </c>
      <c r="R24" s="5" t="s">
        <v>11</v>
      </c>
      <c r="S24" s="5" t="s">
        <v>39</v>
      </c>
      <c r="T24" s="5" t="s">
        <v>12</v>
      </c>
      <c r="U24" s="5" t="s">
        <v>12</v>
      </c>
      <c r="V24" s="5"/>
      <c r="W24" s="5" t="s">
        <v>12</v>
      </c>
      <c r="X24" s="5" t="s">
        <v>11</v>
      </c>
      <c r="Y24" s="5" t="s">
        <v>11</v>
      </c>
      <c r="Z24" s="5" t="s">
        <v>11</v>
      </c>
      <c r="AA24" s="5" t="s">
        <v>39</v>
      </c>
      <c r="AB24" s="5" t="s">
        <v>12</v>
      </c>
      <c r="AC24" s="5" t="s">
        <v>12</v>
      </c>
      <c r="AD24" s="5"/>
      <c r="AE24" s="5" t="s">
        <v>11</v>
      </c>
      <c r="AF24" s="5" t="s">
        <v>11</v>
      </c>
      <c r="AG24" s="5" t="s">
        <v>11</v>
      </c>
      <c r="AH24" s="5" t="s">
        <v>11</v>
      </c>
      <c r="AI24" s="5" t="s">
        <v>39</v>
      </c>
      <c r="AJ24" s="5" t="s">
        <v>12</v>
      </c>
      <c r="AK24" s="5" t="s">
        <v>12</v>
      </c>
      <c r="AL24" s="49"/>
      <c r="AM24" s="5" t="s">
        <v>11</v>
      </c>
      <c r="AN24" s="49" t="s">
        <v>9</v>
      </c>
      <c r="AO24" s="106"/>
      <c r="AP24" s="107"/>
      <c r="AQ24" s="107"/>
      <c r="AR24" s="107"/>
      <c r="AS24" s="108"/>
    </row>
    <row r="25" spans="1:45" ht="16.5">
      <c r="A25" s="6"/>
      <c r="B25" s="57"/>
      <c r="C25" s="58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60"/>
      <c r="AR25" s="24"/>
      <c r="AS25" s="24"/>
    </row>
    <row r="26" spans="1:45" ht="16.5">
      <c r="A26" s="6"/>
      <c r="B26" s="57"/>
      <c r="C26" s="58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59"/>
      <c r="AQ26" s="60"/>
      <c r="AR26" s="24"/>
      <c r="AS26" s="24"/>
    </row>
    <row r="27" spans="1:45" ht="15.75" customHeight="1">
      <c r="A27" s="1"/>
      <c r="B27" s="75" t="s">
        <v>7</v>
      </c>
      <c r="C27" s="75"/>
      <c r="D27" s="64">
        <v>1</v>
      </c>
      <c r="E27" s="64">
        <v>2</v>
      </c>
      <c r="F27" s="113" t="s">
        <v>76</v>
      </c>
      <c r="G27" s="64">
        <v>3</v>
      </c>
      <c r="H27" s="64">
        <v>4</v>
      </c>
      <c r="I27" s="64">
        <v>5</v>
      </c>
      <c r="J27" s="64">
        <v>6</v>
      </c>
      <c r="K27" s="64">
        <v>7</v>
      </c>
      <c r="L27" s="64">
        <v>8</v>
      </c>
      <c r="M27" s="64">
        <v>9</v>
      </c>
      <c r="N27" s="113" t="s">
        <v>76</v>
      </c>
      <c r="O27" s="64">
        <v>10</v>
      </c>
      <c r="P27" s="64">
        <v>11</v>
      </c>
      <c r="Q27" s="64">
        <v>12</v>
      </c>
      <c r="R27" s="64">
        <v>13</v>
      </c>
      <c r="S27" s="64">
        <v>14</v>
      </c>
      <c r="T27" s="64">
        <v>15</v>
      </c>
      <c r="U27" s="64">
        <v>16</v>
      </c>
      <c r="V27" s="113" t="s">
        <v>76</v>
      </c>
      <c r="W27" s="64">
        <v>17</v>
      </c>
      <c r="X27" s="64">
        <v>18</v>
      </c>
      <c r="Y27" s="64">
        <v>19</v>
      </c>
      <c r="Z27" s="64">
        <v>20</v>
      </c>
      <c r="AA27" s="64">
        <v>21</v>
      </c>
      <c r="AB27" s="64">
        <v>22</v>
      </c>
      <c r="AC27" s="64">
        <v>23</v>
      </c>
      <c r="AD27" s="113" t="s">
        <v>76</v>
      </c>
      <c r="AE27" s="64">
        <v>24</v>
      </c>
      <c r="AF27" s="64">
        <v>25</v>
      </c>
      <c r="AG27" s="64">
        <v>26</v>
      </c>
      <c r="AH27" s="64">
        <v>27</v>
      </c>
      <c r="AI27" s="64">
        <v>28</v>
      </c>
      <c r="AJ27" s="64">
        <v>29</v>
      </c>
      <c r="AK27" s="64">
        <v>30</v>
      </c>
      <c r="AL27" s="111"/>
      <c r="AM27" s="67">
        <v>31</v>
      </c>
      <c r="AN27" s="111"/>
      <c r="AO27" s="91" t="s">
        <v>17</v>
      </c>
      <c r="AP27" s="92"/>
      <c r="AQ27" s="92"/>
      <c r="AR27" s="92"/>
      <c r="AS27" s="93"/>
    </row>
    <row r="28" spans="1:45" ht="14.25" customHeight="1">
      <c r="A28" s="1"/>
      <c r="B28" s="76" t="str">
        <f>+B10</f>
        <v>NOMBRE</v>
      </c>
      <c r="C28" s="77" t="s">
        <v>34</v>
      </c>
      <c r="D28" s="66" t="s">
        <v>16</v>
      </c>
      <c r="E28" s="65" t="s">
        <v>11</v>
      </c>
      <c r="F28" s="114"/>
      <c r="G28" s="65" t="s">
        <v>12</v>
      </c>
      <c r="H28" s="64" t="s">
        <v>13</v>
      </c>
      <c r="I28" s="64" t="s">
        <v>13</v>
      </c>
      <c r="J28" s="64" t="s">
        <v>14</v>
      </c>
      <c r="K28" s="64" t="s">
        <v>15</v>
      </c>
      <c r="L28" s="64" t="s">
        <v>16</v>
      </c>
      <c r="M28" s="64" t="s">
        <v>11</v>
      </c>
      <c r="N28" s="114"/>
      <c r="O28" s="65" t="s">
        <v>12</v>
      </c>
      <c r="P28" s="64" t="s">
        <v>13</v>
      </c>
      <c r="Q28" s="64" t="s">
        <v>13</v>
      </c>
      <c r="R28" s="64" t="s">
        <v>14</v>
      </c>
      <c r="S28" s="64" t="s">
        <v>15</v>
      </c>
      <c r="T28" s="64" t="s">
        <v>16</v>
      </c>
      <c r="U28" s="64" t="s">
        <v>11</v>
      </c>
      <c r="V28" s="114"/>
      <c r="W28" s="65" t="s">
        <v>12</v>
      </c>
      <c r="X28" s="64" t="s">
        <v>13</v>
      </c>
      <c r="Y28" s="64" t="s">
        <v>13</v>
      </c>
      <c r="Z28" s="64" t="s">
        <v>14</v>
      </c>
      <c r="AA28" s="64" t="s">
        <v>15</v>
      </c>
      <c r="AB28" s="64" t="s">
        <v>16</v>
      </c>
      <c r="AC28" s="64" t="s">
        <v>11</v>
      </c>
      <c r="AD28" s="114"/>
      <c r="AE28" s="65" t="s">
        <v>12</v>
      </c>
      <c r="AF28" s="64" t="s">
        <v>13</v>
      </c>
      <c r="AG28" s="64" t="s">
        <v>13</v>
      </c>
      <c r="AH28" s="64" t="s">
        <v>14</v>
      </c>
      <c r="AI28" s="64" t="s">
        <v>15</v>
      </c>
      <c r="AJ28" s="64" t="s">
        <v>16</v>
      </c>
      <c r="AK28" s="64" t="s">
        <v>11</v>
      </c>
      <c r="AL28" s="112"/>
      <c r="AM28" s="68" t="s">
        <v>15</v>
      </c>
      <c r="AN28" s="112"/>
      <c r="AO28" s="94"/>
      <c r="AP28" s="95"/>
      <c r="AQ28" s="95"/>
      <c r="AR28" s="95"/>
      <c r="AS28" s="96"/>
    </row>
    <row r="29" spans="1:45" ht="16.5">
      <c r="A29" s="6"/>
      <c r="B29" s="82" t="str">
        <f t="shared" ref="B29:C41" si="0">B12</f>
        <v>WILLIAM ADARME</v>
      </c>
      <c r="C29" s="83" t="str">
        <f t="shared" si="0"/>
        <v>COLORADOS</v>
      </c>
      <c r="D29" s="42">
        <f t="shared" ref="D29:E41" si="1">VLOOKUP(D12,$B$48:$J$59,7,0)</f>
        <v>0</v>
      </c>
      <c r="E29" s="42">
        <f t="shared" si="1"/>
        <v>0</v>
      </c>
      <c r="F29" s="42">
        <f>SUM(D29:E29)</f>
        <v>0</v>
      </c>
      <c r="G29" s="42">
        <f>VLOOKUP(G12,$B$48:$J$59,7,0)</f>
        <v>9</v>
      </c>
      <c r="H29" s="42">
        <f>VLOOKUP(H12,$B$48:$J$59,7,0)</f>
        <v>9</v>
      </c>
      <c r="I29" s="42">
        <f>VLOOKUP(I12,$B$48:$J$59,7,0)</f>
        <v>9</v>
      </c>
      <c r="J29" s="42">
        <f t="shared" ref="J29" si="2">VLOOKUP(J12,$B$48:$J$59,7,0)</f>
        <v>9</v>
      </c>
      <c r="K29" s="42">
        <f>VLOOKUP(K12,$B$48:$J$59,7,0)</f>
        <v>0</v>
      </c>
      <c r="L29" s="42">
        <f>VLOOKUP(L12,$B$48:$J$59,7,0)</f>
        <v>0</v>
      </c>
      <c r="M29" s="42">
        <f>VLOOKUP(M12,$B$48:$J$59,7,0)</f>
        <v>0</v>
      </c>
      <c r="N29" s="42">
        <f>SUM(G29:M29)</f>
        <v>36</v>
      </c>
      <c r="O29" s="42">
        <f>VLOOKUP(O12,$B$48:$J$59,7,0)</f>
        <v>9</v>
      </c>
      <c r="P29" s="42">
        <f>VLOOKUP(P12,$B$48:$J$59,7,0)</f>
        <v>9</v>
      </c>
      <c r="Q29" s="42">
        <f>VLOOKUP(Q12,$B$48:$J$59,7,0)</f>
        <v>9</v>
      </c>
      <c r="R29" s="42">
        <f>VLOOKUP(Q12,$B$48:$J$59,7,0)</f>
        <v>9</v>
      </c>
      <c r="S29" s="42">
        <f>VLOOKUP(S12,$B$48:$J$59,7,0)</f>
        <v>8</v>
      </c>
      <c r="T29" s="42">
        <f>VLOOKUP(T12,$B$48:$J$59,7,0)</f>
        <v>0</v>
      </c>
      <c r="U29" s="42">
        <f>VLOOKUP(U12,$B$48:$J$59,7,0)</f>
        <v>0</v>
      </c>
      <c r="V29" s="42">
        <f>SUM(O29:U29)</f>
        <v>44</v>
      </c>
      <c r="W29" s="42">
        <f>VLOOKUP(W12,$B$48:$J$59,7,0)</f>
        <v>0</v>
      </c>
      <c r="X29" s="42">
        <f>VLOOKUP(X12,$B$48:$J$59,7,0)</f>
        <v>9</v>
      </c>
      <c r="Y29" s="42">
        <f>VLOOKUP(Y12,$B$48:$J$59,7,0)</f>
        <v>9</v>
      </c>
      <c r="Z29" s="42">
        <f>VLOOKUP(Z12,$B$48:$J$59,7,0)</f>
        <v>9</v>
      </c>
      <c r="AA29" s="42">
        <f>VLOOKUP(AA12,$B$48:$J$59,7,0)</f>
        <v>8</v>
      </c>
      <c r="AB29" s="42">
        <f>VLOOKUP(AB13,$B$48:$J$59,7,0)</f>
        <v>0</v>
      </c>
      <c r="AC29" s="42">
        <f>VLOOKUP(AC13,$B$48:$J$59,7,0)</f>
        <v>0</v>
      </c>
      <c r="AD29" s="42">
        <f>SUM(W29:AC29)</f>
        <v>35</v>
      </c>
      <c r="AE29" s="42">
        <f>VLOOKUP(AA12,$B$48:$J$59,7,0)</f>
        <v>8</v>
      </c>
      <c r="AF29" s="42">
        <f>VLOOKUP(AF12,$B$48:$J$59,7,0)</f>
        <v>9</v>
      </c>
      <c r="AG29" s="42">
        <f>VLOOKUP(AG12,$B$48:$J$59,7,0)</f>
        <v>9</v>
      </c>
      <c r="AH29" s="42">
        <f>VLOOKUP(AH12,$B$48:$J$59,7,0)</f>
        <v>9</v>
      </c>
      <c r="AI29" s="42">
        <f t="shared" ref="AI29" si="3">VLOOKUP(AE12,$B$48:$J$59,7,0)</f>
        <v>9</v>
      </c>
      <c r="AJ29" s="42">
        <f>VLOOKUP(AJ13,$B$48:$J$59,7,0)</f>
        <v>0</v>
      </c>
      <c r="AK29" s="42">
        <f>VLOOKUP(AK13,$B$48:$J$59,7,0)</f>
        <v>0</v>
      </c>
      <c r="AL29" s="42">
        <f>SUM(AE29:AK29)</f>
        <v>44</v>
      </c>
      <c r="AM29" s="42">
        <f t="shared" ref="AM29:AM41" si="4">VLOOKUP(AH12,$B$48:$J$59,7,0)</f>
        <v>9</v>
      </c>
      <c r="AN29" s="42">
        <f>VLOOKUP(AN12,$B$48:$J$59,7,0)</f>
        <v>1</v>
      </c>
      <c r="AO29" s="42">
        <f>SUM(AM29:AN29)</f>
        <v>10</v>
      </c>
      <c r="AP29" s="85">
        <f>SUM(F29+N29+V29+AD29+AL29+AO29)</f>
        <v>169</v>
      </c>
      <c r="AQ29" s="86"/>
      <c r="AR29" s="86"/>
      <c r="AS29" s="87"/>
    </row>
    <row r="30" spans="1:45" ht="16.5">
      <c r="A30" s="6"/>
      <c r="B30" s="4" t="str">
        <f t="shared" si="0"/>
        <v>JENNIFER ROJAS</v>
      </c>
      <c r="C30" s="41" t="str">
        <f t="shared" si="0"/>
        <v>CAFÉ MADRID</v>
      </c>
      <c r="D30" s="42">
        <f t="shared" si="1"/>
        <v>0</v>
      </c>
      <c r="E30" s="42">
        <f t="shared" si="1"/>
        <v>0</v>
      </c>
      <c r="F30" s="42">
        <f t="shared" ref="F30:F41" si="5">SUM(D30:E30)</f>
        <v>0</v>
      </c>
      <c r="G30" s="42">
        <f t="shared" ref="G30:M30" si="6">VLOOKUP(G13,$B$48:$J$59,7,0)</f>
        <v>9</v>
      </c>
      <c r="H30" s="42">
        <f t="shared" si="6"/>
        <v>9</v>
      </c>
      <c r="I30" s="42">
        <f t="shared" si="6"/>
        <v>9</v>
      </c>
      <c r="J30" s="42">
        <f t="shared" si="6"/>
        <v>9</v>
      </c>
      <c r="K30" s="42">
        <f t="shared" si="6"/>
        <v>0</v>
      </c>
      <c r="L30" s="42">
        <f t="shared" si="6"/>
        <v>0</v>
      </c>
      <c r="M30" s="42">
        <f t="shared" si="6"/>
        <v>0</v>
      </c>
      <c r="N30" s="42">
        <f t="shared" ref="N30:N41" si="7">SUM(G30:M30)</f>
        <v>36</v>
      </c>
      <c r="O30" s="42">
        <f t="shared" ref="O30:Q30" si="8">VLOOKUP(O13,$B$48:$J$59,7,0)</f>
        <v>9</v>
      </c>
      <c r="P30" s="42">
        <f t="shared" si="8"/>
        <v>9</v>
      </c>
      <c r="Q30" s="42">
        <f t="shared" si="8"/>
        <v>9</v>
      </c>
      <c r="R30" s="42">
        <f t="shared" ref="R30:R41" si="9">VLOOKUP(Q13,$B$48:$J$59,7,0)</f>
        <v>9</v>
      </c>
      <c r="S30" s="42">
        <f t="shared" ref="S30:U30" si="10">VLOOKUP(S13,$B$48:$J$59,7,0)</f>
        <v>8</v>
      </c>
      <c r="T30" s="42">
        <f t="shared" si="10"/>
        <v>0</v>
      </c>
      <c r="U30" s="42">
        <f t="shared" si="10"/>
        <v>0</v>
      </c>
      <c r="V30" s="42">
        <f t="shared" ref="V30:V41" si="11">SUM(O30:U30)</f>
        <v>44</v>
      </c>
      <c r="W30" s="42">
        <f t="shared" ref="W30:AA30" si="12">VLOOKUP(W13,$B$48:$J$59,7,0)</f>
        <v>0</v>
      </c>
      <c r="X30" s="42">
        <f t="shared" si="12"/>
        <v>9</v>
      </c>
      <c r="Y30" s="42">
        <f t="shared" si="12"/>
        <v>9</v>
      </c>
      <c r="Z30" s="42">
        <f t="shared" si="12"/>
        <v>9</v>
      </c>
      <c r="AA30" s="42">
        <f t="shared" si="12"/>
        <v>8</v>
      </c>
      <c r="AB30" s="42">
        <f t="shared" ref="AB30:AC30" si="13">VLOOKUP(AB14,$B$48:$J$59,7,0)</f>
        <v>0</v>
      </c>
      <c r="AC30" s="42">
        <f t="shared" si="13"/>
        <v>0</v>
      </c>
      <c r="AD30" s="42">
        <f t="shared" ref="AD30:AD41" si="14">SUM(W30:AC30)</f>
        <v>35</v>
      </c>
      <c r="AE30" s="42">
        <f t="shared" ref="AE30:AE41" si="15">VLOOKUP(AA13,$B$48:$J$59,7,0)</f>
        <v>8</v>
      </c>
      <c r="AF30" s="42">
        <f t="shared" ref="AF30:AH30" si="16">VLOOKUP(AF13,$B$48:$J$59,7,0)</f>
        <v>9</v>
      </c>
      <c r="AG30" s="42">
        <f t="shared" si="16"/>
        <v>9</v>
      </c>
      <c r="AH30" s="42">
        <f t="shared" si="16"/>
        <v>9</v>
      </c>
      <c r="AI30" s="42">
        <f t="shared" ref="AI30:AI41" si="17">VLOOKUP(AE13,$B$48:$J$59,7,0)</f>
        <v>9</v>
      </c>
      <c r="AJ30" s="42">
        <f t="shared" ref="AJ30:AK30" si="18">VLOOKUP(AJ14,$B$48:$J$59,7,0)</f>
        <v>0</v>
      </c>
      <c r="AK30" s="42">
        <f t="shared" si="18"/>
        <v>0</v>
      </c>
      <c r="AL30" s="42">
        <f t="shared" ref="AL30:AL41" si="19">SUM(AE30:AK30)</f>
        <v>44</v>
      </c>
      <c r="AM30" s="42">
        <f t="shared" si="4"/>
        <v>9</v>
      </c>
      <c r="AN30" s="42">
        <f t="shared" ref="AN30:AN41" si="20">VLOOKUP(AN13,$B$48:$J$59,7,0)</f>
        <v>1</v>
      </c>
      <c r="AO30" s="42">
        <f t="shared" ref="AO30:AO41" si="21">SUM(AM30:AN30)</f>
        <v>10</v>
      </c>
      <c r="AP30" s="85">
        <f t="shared" ref="AP30:AP41" si="22">SUM(F30+N30+V30+AD30+AL30+AO30)</f>
        <v>169</v>
      </c>
      <c r="AQ30" s="86"/>
      <c r="AR30" s="86"/>
      <c r="AS30" s="87"/>
    </row>
    <row r="31" spans="1:45" ht="16.5">
      <c r="A31" s="6"/>
      <c r="B31" s="4" t="str">
        <f t="shared" si="0"/>
        <v>JORGE SILGADO</v>
      </c>
      <c r="C31" s="41" t="str">
        <f t="shared" si="0"/>
        <v>CAFÉ MADRID</v>
      </c>
      <c r="D31" s="42">
        <f t="shared" si="1"/>
        <v>0</v>
      </c>
      <c r="E31" s="42">
        <f t="shared" si="1"/>
        <v>0</v>
      </c>
      <c r="F31" s="42">
        <f t="shared" si="5"/>
        <v>0</v>
      </c>
      <c r="G31" s="42">
        <f t="shared" ref="G31:M31" si="23">VLOOKUP(G14,$B$48:$J$59,7,0)</f>
        <v>9</v>
      </c>
      <c r="H31" s="42">
        <f t="shared" si="23"/>
        <v>9</v>
      </c>
      <c r="I31" s="42">
        <f t="shared" si="23"/>
        <v>9</v>
      </c>
      <c r="J31" s="42">
        <f t="shared" si="23"/>
        <v>9</v>
      </c>
      <c r="K31" s="42">
        <f t="shared" si="23"/>
        <v>0</v>
      </c>
      <c r="L31" s="42">
        <f t="shared" si="23"/>
        <v>0</v>
      </c>
      <c r="M31" s="42">
        <f t="shared" si="23"/>
        <v>0</v>
      </c>
      <c r="N31" s="42">
        <f t="shared" si="7"/>
        <v>36</v>
      </c>
      <c r="O31" s="42">
        <f t="shared" ref="O31:Q31" si="24">VLOOKUP(O14,$B$48:$J$59,7,0)</f>
        <v>9</v>
      </c>
      <c r="P31" s="42">
        <f t="shared" si="24"/>
        <v>9</v>
      </c>
      <c r="Q31" s="42">
        <f t="shared" si="24"/>
        <v>9</v>
      </c>
      <c r="R31" s="42">
        <f t="shared" si="9"/>
        <v>9</v>
      </c>
      <c r="S31" s="42">
        <f t="shared" ref="S31:U31" si="25">VLOOKUP(S14,$B$48:$J$59,7,0)</f>
        <v>8</v>
      </c>
      <c r="T31" s="42">
        <f t="shared" si="25"/>
        <v>0</v>
      </c>
      <c r="U31" s="42">
        <f t="shared" si="25"/>
        <v>0</v>
      </c>
      <c r="V31" s="42">
        <f t="shared" si="11"/>
        <v>44</v>
      </c>
      <c r="W31" s="42">
        <f t="shared" ref="W31:AA31" si="26">VLOOKUP(W14,$B$48:$J$59,7,0)</f>
        <v>0</v>
      </c>
      <c r="X31" s="42">
        <f t="shared" si="26"/>
        <v>9</v>
      </c>
      <c r="Y31" s="42">
        <f t="shared" si="26"/>
        <v>9</v>
      </c>
      <c r="Z31" s="42">
        <f t="shared" si="26"/>
        <v>9</v>
      </c>
      <c r="AA31" s="42">
        <f t="shared" si="26"/>
        <v>8</v>
      </c>
      <c r="AB31" s="42">
        <f t="shared" ref="AB31:AC31" si="27">VLOOKUP(AB15,$B$48:$J$59,7,0)</f>
        <v>0</v>
      </c>
      <c r="AC31" s="42">
        <f t="shared" si="27"/>
        <v>0</v>
      </c>
      <c r="AD31" s="42">
        <f t="shared" si="14"/>
        <v>35</v>
      </c>
      <c r="AE31" s="42">
        <f t="shared" si="15"/>
        <v>8</v>
      </c>
      <c r="AF31" s="42">
        <f t="shared" ref="AF31:AH31" si="28">VLOOKUP(AF14,$B$48:$J$59,7,0)</f>
        <v>9</v>
      </c>
      <c r="AG31" s="42">
        <f t="shared" si="28"/>
        <v>9</v>
      </c>
      <c r="AH31" s="42">
        <f t="shared" si="28"/>
        <v>9</v>
      </c>
      <c r="AI31" s="42">
        <f t="shared" si="17"/>
        <v>9</v>
      </c>
      <c r="AJ31" s="42">
        <f t="shared" ref="AJ31:AK31" si="29">VLOOKUP(AJ15,$B$48:$J$59,7,0)</f>
        <v>0</v>
      </c>
      <c r="AK31" s="42">
        <f t="shared" si="29"/>
        <v>0</v>
      </c>
      <c r="AL31" s="42">
        <f t="shared" si="19"/>
        <v>44</v>
      </c>
      <c r="AM31" s="42">
        <f t="shared" si="4"/>
        <v>9</v>
      </c>
      <c r="AN31" s="42">
        <f t="shared" si="20"/>
        <v>1</v>
      </c>
      <c r="AO31" s="42">
        <f t="shared" si="21"/>
        <v>10</v>
      </c>
      <c r="AP31" s="85">
        <f t="shared" si="22"/>
        <v>169</v>
      </c>
      <c r="AQ31" s="86"/>
      <c r="AR31" s="86"/>
      <c r="AS31" s="87"/>
    </row>
    <row r="32" spans="1:45" ht="16.5">
      <c r="A32" s="7"/>
      <c r="B32" s="4" t="str">
        <f t="shared" si="0"/>
        <v>OLGA HERNANDEZ</v>
      </c>
      <c r="C32" s="41" t="str">
        <f t="shared" si="0"/>
        <v>KENNEDY</v>
      </c>
      <c r="D32" s="42">
        <f t="shared" si="1"/>
        <v>0</v>
      </c>
      <c r="E32" s="42">
        <f t="shared" si="1"/>
        <v>0</v>
      </c>
      <c r="F32" s="42">
        <f t="shared" si="5"/>
        <v>0</v>
      </c>
      <c r="G32" s="42">
        <f t="shared" ref="G32:M32" si="30">VLOOKUP(G15,$B$48:$J$59,7,0)</f>
        <v>9</v>
      </c>
      <c r="H32" s="42">
        <f t="shared" si="30"/>
        <v>9</v>
      </c>
      <c r="I32" s="42">
        <f t="shared" si="30"/>
        <v>9</v>
      </c>
      <c r="J32" s="42">
        <f t="shared" si="30"/>
        <v>9</v>
      </c>
      <c r="K32" s="42">
        <f t="shared" si="30"/>
        <v>0</v>
      </c>
      <c r="L32" s="42">
        <f t="shared" si="30"/>
        <v>0</v>
      </c>
      <c r="M32" s="42">
        <f t="shared" si="30"/>
        <v>0</v>
      </c>
      <c r="N32" s="42">
        <f t="shared" si="7"/>
        <v>36</v>
      </c>
      <c r="O32" s="42">
        <f t="shared" ref="O32:Q32" si="31">VLOOKUP(O15,$B$48:$J$59,7,0)</f>
        <v>9</v>
      </c>
      <c r="P32" s="42">
        <f t="shared" si="31"/>
        <v>9</v>
      </c>
      <c r="Q32" s="42">
        <f t="shared" si="31"/>
        <v>9</v>
      </c>
      <c r="R32" s="42">
        <f t="shared" si="9"/>
        <v>9</v>
      </c>
      <c r="S32" s="42">
        <f t="shared" ref="S32:U32" si="32">VLOOKUP(S15,$B$48:$J$59,7,0)</f>
        <v>8</v>
      </c>
      <c r="T32" s="42">
        <f t="shared" si="32"/>
        <v>0</v>
      </c>
      <c r="U32" s="42">
        <f t="shared" si="32"/>
        <v>0</v>
      </c>
      <c r="V32" s="42">
        <f t="shared" si="11"/>
        <v>44</v>
      </c>
      <c r="W32" s="42">
        <f t="shared" ref="W32:AA32" si="33">VLOOKUP(W15,$B$48:$J$59,7,0)</f>
        <v>0</v>
      </c>
      <c r="X32" s="42">
        <f t="shared" si="33"/>
        <v>9</v>
      </c>
      <c r="Y32" s="42">
        <f t="shared" si="33"/>
        <v>9</v>
      </c>
      <c r="Z32" s="42">
        <f t="shared" si="33"/>
        <v>9</v>
      </c>
      <c r="AA32" s="42">
        <f t="shared" si="33"/>
        <v>8</v>
      </c>
      <c r="AB32" s="42">
        <f t="shared" ref="AB32:AC32" si="34">VLOOKUP(AB16,$B$48:$J$59,7,0)</f>
        <v>0</v>
      </c>
      <c r="AC32" s="42">
        <f t="shared" si="34"/>
        <v>0</v>
      </c>
      <c r="AD32" s="42">
        <f t="shared" si="14"/>
        <v>35</v>
      </c>
      <c r="AE32" s="42">
        <f t="shared" si="15"/>
        <v>8</v>
      </c>
      <c r="AF32" s="42">
        <f t="shared" ref="AF32:AH32" si="35">VLOOKUP(AF15,$B$48:$J$59,7,0)</f>
        <v>9</v>
      </c>
      <c r="AG32" s="42">
        <f t="shared" si="35"/>
        <v>9</v>
      </c>
      <c r="AH32" s="42">
        <f t="shared" si="35"/>
        <v>9</v>
      </c>
      <c r="AI32" s="42">
        <f t="shared" si="17"/>
        <v>9</v>
      </c>
      <c r="AJ32" s="42">
        <f t="shared" ref="AJ32:AK32" si="36">VLOOKUP(AJ16,$B$48:$J$59,7,0)</f>
        <v>0</v>
      </c>
      <c r="AK32" s="42">
        <f t="shared" si="36"/>
        <v>0</v>
      </c>
      <c r="AL32" s="42">
        <f t="shared" si="19"/>
        <v>44</v>
      </c>
      <c r="AM32" s="42">
        <f t="shared" si="4"/>
        <v>9</v>
      </c>
      <c r="AN32" s="42">
        <f t="shared" si="20"/>
        <v>1</v>
      </c>
      <c r="AO32" s="42">
        <f t="shared" si="21"/>
        <v>10</v>
      </c>
      <c r="AP32" s="85">
        <f t="shared" si="22"/>
        <v>169</v>
      </c>
      <c r="AQ32" s="86"/>
      <c r="AR32" s="86"/>
      <c r="AS32" s="87"/>
    </row>
    <row r="33" spans="1:45" ht="16.5">
      <c r="A33" s="7"/>
      <c r="B33" s="4" t="str">
        <f t="shared" si="0"/>
        <v>MAYERLI CUBIDES</v>
      </c>
      <c r="C33" s="41" t="str">
        <f t="shared" si="0"/>
        <v>KENNEDY</v>
      </c>
      <c r="D33" s="42">
        <f t="shared" si="1"/>
        <v>0</v>
      </c>
      <c r="E33" s="42">
        <f t="shared" si="1"/>
        <v>0</v>
      </c>
      <c r="F33" s="42">
        <f t="shared" si="5"/>
        <v>0</v>
      </c>
      <c r="G33" s="42">
        <f t="shared" ref="G33:M33" si="37">VLOOKUP(G16,$B$48:$J$59,7,0)</f>
        <v>9</v>
      </c>
      <c r="H33" s="42">
        <f t="shared" si="37"/>
        <v>9</v>
      </c>
      <c r="I33" s="42">
        <f t="shared" si="37"/>
        <v>9</v>
      </c>
      <c r="J33" s="42">
        <f t="shared" si="37"/>
        <v>9</v>
      </c>
      <c r="K33" s="42">
        <f t="shared" si="37"/>
        <v>0</v>
      </c>
      <c r="L33" s="42">
        <f t="shared" si="37"/>
        <v>0</v>
      </c>
      <c r="M33" s="42">
        <f t="shared" si="37"/>
        <v>0</v>
      </c>
      <c r="N33" s="42">
        <f t="shared" si="7"/>
        <v>36</v>
      </c>
      <c r="O33" s="42">
        <f t="shared" ref="O33:Q33" si="38">VLOOKUP(O16,$B$48:$J$59,7,0)</f>
        <v>9</v>
      </c>
      <c r="P33" s="42">
        <f t="shared" si="38"/>
        <v>9</v>
      </c>
      <c r="Q33" s="42">
        <f t="shared" si="38"/>
        <v>9</v>
      </c>
      <c r="R33" s="42">
        <f t="shared" si="9"/>
        <v>9</v>
      </c>
      <c r="S33" s="42">
        <f t="shared" ref="S33:U33" si="39">VLOOKUP(S16,$B$48:$J$59,7,0)</f>
        <v>8</v>
      </c>
      <c r="T33" s="42">
        <f t="shared" si="39"/>
        <v>0</v>
      </c>
      <c r="U33" s="42">
        <f t="shared" si="39"/>
        <v>0</v>
      </c>
      <c r="V33" s="42">
        <f t="shared" si="11"/>
        <v>44</v>
      </c>
      <c r="W33" s="42">
        <f t="shared" ref="W33:AA33" si="40">VLOOKUP(W16,$B$48:$J$59,7,0)</f>
        <v>0</v>
      </c>
      <c r="X33" s="42">
        <f t="shared" si="40"/>
        <v>9</v>
      </c>
      <c r="Y33" s="42">
        <f t="shared" si="40"/>
        <v>9</v>
      </c>
      <c r="Z33" s="42">
        <f t="shared" si="40"/>
        <v>9</v>
      </c>
      <c r="AA33" s="42">
        <f t="shared" si="40"/>
        <v>8</v>
      </c>
      <c r="AB33" s="42">
        <f t="shared" ref="AB33:AC33" si="41">VLOOKUP(AB17,$B$48:$J$59,7,0)</f>
        <v>0</v>
      </c>
      <c r="AC33" s="42">
        <f t="shared" si="41"/>
        <v>0</v>
      </c>
      <c r="AD33" s="42">
        <f t="shared" si="14"/>
        <v>35</v>
      </c>
      <c r="AE33" s="42">
        <f t="shared" si="15"/>
        <v>8</v>
      </c>
      <c r="AF33" s="42">
        <f t="shared" ref="AF33:AH33" si="42">VLOOKUP(AF16,$B$48:$J$59,7,0)</f>
        <v>9</v>
      </c>
      <c r="AG33" s="42">
        <f t="shared" si="42"/>
        <v>9</v>
      </c>
      <c r="AH33" s="42">
        <f t="shared" si="42"/>
        <v>9</v>
      </c>
      <c r="AI33" s="42">
        <f t="shared" si="17"/>
        <v>9</v>
      </c>
      <c r="AJ33" s="42">
        <f t="shared" ref="AJ33:AK33" si="43">VLOOKUP(AJ17,$B$48:$J$59,7,0)</f>
        <v>0</v>
      </c>
      <c r="AK33" s="42">
        <f t="shared" si="43"/>
        <v>0</v>
      </c>
      <c r="AL33" s="42">
        <f t="shared" si="19"/>
        <v>44</v>
      </c>
      <c r="AM33" s="42">
        <f t="shared" si="4"/>
        <v>9</v>
      </c>
      <c r="AN33" s="42">
        <f t="shared" si="20"/>
        <v>1</v>
      </c>
      <c r="AO33" s="42">
        <f t="shared" si="21"/>
        <v>10</v>
      </c>
      <c r="AP33" s="85">
        <f t="shared" si="22"/>
        <v>169</v>
      </c>
      <c r="AQ33" s="86"/>
      <c r="AR33" s="86"/>
      <c r="AS33" s="87"/>
    </row>
    <row r="34" spans="1:45" ht="17.100000000000001" customHeight="1">
      <c r="A34" s="6"/>
      <c r="B34" s="4" t="str">
        <f t="shared" si="0"/>
        <v>OLGA LEON</v>
      </c>
      <c r="C34" s="41" t="str">
        <f t="shared" si="0"/>
        <v>IPC</v>
      </c>
      <c r="D34" s="42">
        <f t="shared" si="1"/>
        <v>0</v>
      </c>
      <c r="E34" s="42">
        <f t="shared" si="1"/>
        <v>0</v>
      </c>
      <c r="F34" s="42">
        <f t="shared" si="5"/>
        <v>0</v>
      </c>
      <c r="G34" s="42">
        <f t="shared" ref="G34:M34" si="44">VLOOKUP(G17,$B$48:$J$59,7,0)</f>
        <v>9</v>
      </c>
      <c r="H34" s="42">
        <f t="shared" si="44"/>
        <v>9</v>
      </c>
      <c r="I34" s="42">
        <f t="shared" si="44"/>
        <v>9</v>
      </c>
      <c r="J34" s="42">
        <f t="shared" si="44"/>
        <v>9</v>
      </c>
      <c r="K34" s="42">
        <f t="shared" si="44"/>
        <v>0</v>
      </c>
      <c r="L34" s="42">
        <f t="shared" si="44"/>
        <v>0</v>
      </c>
      <c r="M34" s="42">
        <f t="shared" si="44"/>
        <v>0</v>
      </c>
      <c r="N34" s="42">
        <f t="shared" si="7"/>
        <v>36</v>
      </c>
      <c r="O34" s="42">
        <f t="shared" ref="O34:Q34" si="45">VLOOKUP(O17,$B$48:$J$59,7,0)</f>
        <v>9</v>
      </c>
      <c r="P34" s="42">
        <f t="shared" si="45"/>
        <v>9</v>
      </c>
      <c r="Q34" s="42">
        <f t="shared" si="45"/>
        <v>9</v>
      </c>
      <c r="R34" s="42">
        <f t="shared" si="9"/>
        <v>9</v>
      </c>
      <c r="S34" s="42">
        <f t="shared" ref="S34:U34" si="46">VLOOKUP(S17,$B$48:$J$59,7,0)</f>
        <v>8</v>
      </c>
      <c r="T34" s="42">
        <f t="shared" si="46"/>
        <v>0</v>
      </c>
      <c r="U34" s="42">
        <f t="shared" si="46"/>
        <v>0</v>
      </c>
      <c r="V34" s="42">
        <f t="shared" si="11"/>
        <v>44</v>
      </c>
      <c r="W34" s="42">
        <f t="shared" ref="W34:AA34" si="47">VLOOKUP(W17,$B$48:$J$59,7,0)</f>
        <v>0</v>
      </c>
      <c r="X34" s="42">
        <f t="shared" si="47"/>
        <v>9</v>
      </c>
      <c r="Y34" s="42">
        <f t="shared" si="47"/>
        <v>9</v>
      </c>
      <c r="Z34" s="42">
        <f t="shared" si="47"/>
        <v>9</v>
      </c>
      <c r="AA34" s="42">
        <f t="shared" si="47"/>
        <v>8</v>
      </c>
      <c r="AB34" s="42">
        <f t="shared" ref="AB34:AC34" si="48">VLOOKUP(AB18,$B$48:$J$59,7,0)</f>
        <v>0</v>
      </c>
      <c r="AC34" s="42">
        <f t="shared" si="48"/>
        <v>0</v>
      </c>
      <c r="AD34" s="42">
        <f t="shared" si="14"/>
        <v>35</v>
      </c>
      <c r="AE34" s="42">
        <f t="shared" si="15"/>
        <v>8</v>
      </c>
      <c r="AF34" s="42">
        <f t="shared" ref="AF34:AH34" si="49">VLOOKUP(AF17,$B$48:$J$59,7,0)</f>
        <v>9</v>
      </c>
      <c r="AG34" s="42">
        <f t="shared" si="49"/>
        <v>9</v>
      </c>
      <c r="AH34" s="42">
        <f t="shared" si="49"/>
        <v>9</v>
      </c>
      <c r="AI34" s="42">
        <f t="shared" si="17"/>
        <v>9</v>
      </c>
      <c r="AJ34" s="42">
        <f t="shared" ref="AJ34:AK34" si="50">VLOOKUP(AJ18,$B$48:$J$59,7,0)</f>
        <v>0</v>
      </c>
      <c r="AK34" s="42">
        <f t="shared" si="50"/>
        <v>0</v>
      </c>
      <c r="AL34" s="42">
        <f t="shared" si="19"/>
        <v>44</v>
      </c>
      <c r="AM34" s="42">
        <f t="shared" si="4"/>
        <v>9</v>
      </c>
      <c r="AN34" s="42">
        <f t="shared" si="20"/>
        <v>1</v>
      </c>
      <c r="AO34" s="42">
        <f t="shared" si="21"/>
        <v>10</v>
      </c>
      <c r="AP34" s="85">
        <f t="shared" si="22"/>
        <v>169</v>
      </c>
      <c r="AQ34" s="86"/>
      <c r="AR34" s="86"/>
      <c r="AS34" s="87"/>
    </row>
    <row r="35" spans="1:45" ht="16.5">
      <c r="A35" s="6"/>
      <c r="B35" s="4" t="str">
        <f t="shared" si="0"/>
        <v>XIOMARA LIZARASO</v>
      </c>
      <c r="C35" s="41" t="str">
        <f t="shared" si="0"/>
        <v>VILLA ROSA</v>
      </c>
      <c r="D35" s="42">
        <f t="shared" si="1"/>
        <v>0</v>
      </c>
      <c r="E35" s="42">
        <f t="shared" si="1"/>
        <v>0</v>
      </c>
      <c r="F35" s="42">
        <f t="shared" si="5"/>
        <v>0</v>
      </c>
      <c r="G35" s="42">
        <f t="shared" ref="G35:M35" si="51">VLOOKUP(G18,$B$48:$J$59,7,0)</f>
        <v>9</v>
      </c>
      <c r="H35" s="42">
        <f t="shared" si="51"/>
        <v>9</v>
      </c>
      <c r="I35" s="42">
        <f t="shared" si="51"/>
        <v>9</v>
      </c>
      <c r="J35" s="42">
        <f t="shared" si="51"/>
        <v>9</v>
      </c>
      <c r="K35" s="42">
        <f t="shared" si="51"/>
        <v>0</v>
      </c>
      <c r="L35" s="42">
        <f t="shared" si="51"/>
        <v>0</v>
      </c>
      <c r="M35" s="42">
        <f t="shared" si="51"/>
        <v>0</v>
      </c>
      <c r="N35" s="42">
        <f t="shared" si="7"/>
        <v>36</v>
      </c>
      <c r="O35" s="42">
        <f t="shared" ref="O35:Q35" si="52">VLOOKUP(O18,$B$48:$J$59,7,0)</f>
        <v>9</v>
      </c>
      <c r="P35" s="42">
        <f t="shared" si="52"/>
        <v>9</v>
      </c>
      <c r="Q35" s="42">
        <f t="shared" si="52"/>
        <v>9</v>
      </c>
      <c r="R35" s="42">
        <f t="shared" si="9"/>
        <v>9</v>
      </c>
      <c r="S35" s="42">
        <f t="shared" ref="S35:U35" si="53">VLOOKUP(S18,$B$48:$J$59,7,0)</f>
        <v>8</v>
      </c>
      <c r="T35" s="42">
        <f t="shared" si="53"/>
        <v>0</v>
      </c>
      <c r="U35" s="42">
        <f t="shared" si="53"/>
        <v>0</v>
      </c>
      <c r="V35" s="42">
        <f t="shared" si="11"/>
        <v>44</v>
      </c>
      <c r="W35" s="42">
        <f t="shared" ref="W35:AA35" si="54">VLOOKUP(W18,$B$48:$J$59,7,0)</f>
        <v>0</v>
      </c>
      <c r="X35" s="42">
        <f t="shared" si="54"/>
        <v>9</v>
      </c>
      <c r="Y35" s="42">
        <f t="shared" si="54"/>
        <v>9</v>
      </c>
      <c r="Z35" s="42">
        <f t="shared" si="54"/>
        <v>9</v>
      </c>
      <c r="AA35" s="42">
        <f t="shared" si="54"/>
        <v>8</v>
      </c>
      <c r="AB35" s="42">
        <f t="shared" ref="AB35:AC35" si="55">VLOOKUP(AB19,$B$48:$J$59,7,0)</f>
        <v>0</v>
      </c>
      <c r="AC35" s="42">
        <f t="shared" si="55"/>
        <v>0</v>
      </c>
      <c r="AD35" s="42">
        <f t="shared" si="14"/>
        <v>35</v>
      </c>
      <c r="AE35" s="42">
        <f t="shared" si="15"/>
        <v>8</v>
      </c>
      <c r="AF35" s="42">
        <f t="shared" ref="AF35:AH35" si="56">VLOOKUP(AF18,$B$48:$J$59,7,0)</f>
        <v>9</v>
      </c>
      <c r="AG35" s="42">
        <f t="shared" si="56"/>
        <v>9</v>
      </c>
      <c r="AH35" s="42">
        <f t="shared" si="56"/>
        <v>9</v>
      </c>
      <c r="AI35" s="42">
        <f t="shared" si="17"/>
        <v>9</v>
      </c>
      <c r="AJ35" s="42">
        <f t="shared" ref="AJ35:AK35" si="57">VLOOKUP(AJ19,$B$48:$J$59,7,0)</f>
        <v>0</v>
      </c>
      <c r="AK35" s="42">
        <f t="shared" si="57"/>
        <v>0</v>
      </c>
      <c r="AL35" s="42">
        <f t="shared" si="19"/>
        <v>44</v>
      </c>
      <c r="AM35" s="42">
        <f t="shared" si="4"/>
        <v>9</v>
      </c>
      <c r="AN35" s="42">
        <f t="shared" si="20"/>
        <v>1</v>
      </c>
      <c r="AO35" s="42">
        <f t="shared" si="21"/>
        <v>10</v>
      </c>
      <c r="AP35" s="85">
        <f t="shared" si="22"/>
        <v>169</v>
      </c>
      <c r="AQ35" s="86"/>
      <c r="AR35" s="86"/>
      <c r="AS35" s="87"/>
    </row>
    <row r="36" spans="1:45" ht="17.100000000000001" customHeight="1">
      <c r="A36" s="6"/>
      <c r="B36" s="4" t="str">
        <f t="shared" si="0"/>
        <v>EDNA MERCHAN</v>
      </c>
      <c r="C36" s="41" t="str">
        <f t="shared" si="0"/>
        <v>GIRARDOT</v>
      </c>
      <c r="D36" s="42">
        <f t="shared" si="1"/>
        <v>0</v>
      </c>
      <c r="E36" s="42">
        <f t="shared" si="1"/>
        <v>0</v>
      </c>
      <c r="F36" s="42">
        <f t="shared" si="5"/>
        <v>0</v>
      </c>
      <c r="G36" s="42">
        <f t="shared" ref="G36:M36" si="58">VLOOKUP(G19,$B$48:$J$59,7,0)</f>
        <v>8</v>
      </c>
      <c r="H36" s="42">
        <f t="shared" si="58"/>
        <v>10</v>
      </c>
      <c r="I36" s="42">
        <f t="shared" si="58"/>
        <v>8</v>
      </c>
      <c r="J36" s="42">
        <f t="shared" si="58"/>
        <v>10</v>
      </c>
      <c r="K36" s="42">
        <f t="shared" si="58"/>
        <v>0</v>
      </c>
      <c r="L36" s="42">
        <f t="shared" si="58"/>
        <v>0</v>
      </c>
      <c r="M36" s="42">
        <f t="shared" si="58"/>
        <v>0</v>
      </c>
      <c r="N36" s="42">
        <f t="shared" si="7"/>
        <v>36</v>
      </c>
      <c r="O36" s="42">
        <f>VLOOKUP(O19,$B$48:$H$59,7,0)</f>
        <v>8</v>
      </c>
      <c r="P36" s="42">
        <f t="shared" ref="P36:S36" si="59">VLOOKUP(P19,$B$48:$H$59,7,0)</f>
        <v>10</v>
      </c>
      <c r="Q36" s="42">
        <f t="shared" si="59"/>
        <v>8</v>
      </c>
      <c r="R36" s="42">
        <f t="shared" si="59"/>
        <v>10</v>
      </c>
      <c r="S36" s="42">
        <f t="shared" si="59"/>
        <v>8</v>
      </c>
      <c r="T36" s="42">
        <f t="shared" ref="T36:U36" si="60">VLOOKUP(T19,$B$48:$J$59,7,0)</f>
        <v>0</v>
      </c>
      <c r="U36" s="42">
        <f t="shared" si="60"/>
        <v>0</v>
      </c>
      <c r="V36" s="42">
        <f t="shared" si="11"/>
        <v>44</v>
      </c>
      <c r="W36" s="42">
        <f t="shared" ref="W36" si="61">VLOOKUP(W19,$B$48:$J$59,7,0)</f>
        <v>0</v>
      </c>
      <c r="X36" s="42">
        <f>VLOOKUP(X19,$B$48:$H$59,7,0)</f>
        <v>10</v>
      </c>
      <c r="Y36" s="42">
        <f t="shared" ref="Y36:AB36" si="62">VLOOKUP(Y19,$B$48:$H$59,7,0)</f>
        <v>8</v>
      </c>
      <c r="Z36" s="42">
        <f t="shared" si="62"/>
        <v>10</v>
      </c>
      <c r="AA36" s="42">
        <f t="shared" si="62"/>
        <v>8</v>
      </c>
      <c r="AB36" s="42">
        <f t="shared" si="62"/>
        <v>0</v>
      </c>
      <c r="AC36" s="42">
        <f t="shared" ref="AC36" si="63">VLOOKUP(AC20,$B$48:$J$59,7,0)</f>
        <v>0</v>
      </c>
      <c r="AD36" s="42">
        <f t="shared" si="14"/>
        <v>36</v>
      </c>
      <c r="AE36" s="42">
        <f t="shared" si="15"/>
        <v>8</v>
      </c>
      <c r="AF36" s="42">
        <f t="shared" ref="AF36:AH36" si="64">VLOOKUP(AF19,$B$48:$J$59,7,0)</f>
        <v>8</v>
      </c>
      <c r="AG36" s="42">
        <f t="shared" si="64"/>
        <v>10</v>
      </c>
      <c r="AH36" s="42">
        <f t="shared" si="64"/>
        <v>8</v>
      </c>
      <c r="AI36" s="42">
        <f t="shared" si="17"/>
        <v>10</v>
      </c>
      <c r="AJ36" s="42">
        <f t="shared" ref="AJ36:AK36" si="65">VLOOKUP(AJ20,$B$48:$J$59,7,0)</f>
        <v>0</v>
      </c>
      <c r="AK36" s="42">
        <f t="shared" si="65"/>
        <v>0</v>
      </c>
      <c r="AL36" s="42">
        <f t="shared" si="19"/>
        <v>44</v>
      </c>
      <c r="AM36" s="42">
        <f t="shared" si="4"/>
        <v>8</v>
      </c>
      <c r="AN36" s="42">
        <f t="shared" si="20"/>
        <v>1</v>
      </c>
      <c r="AO36" s="42">
        <f t="shared" si="21"/>
        <v>9</v>
      </c>
      <c r="AP36" s="85">
        <f t="shared" si="22"/>
        <v>169</v>
      </c>
      <c r="AQ36" s="86"/>
      <c r="AR36" s="86"/>
      <c r="AS36" s="87"/>
    </row>
    <row r="37" spans="1:45" ht="17.100000000000001" customHeight="1">
      <c r="A37" s="6"/>
      <c r="B37" s="4" t="str">
        <f t="shared" si="0"/>
        <v xml:space="preserve">MARISEL CASTILA </v>
      </c>
      <c r="C37" s="41" t="str">
        <f t="shared" si="0"/>
        <v xml:space="preserve">GIRARDOT </v>
      </c>
      <c r="D37" s="42">
        <f t="shared" si="1"/>
        <v>0</v>
      </c>
      <c r="E37" s="42">
        <f t="shared" si="1"/>
        <v>0</v>
      </c>
      <c r="F37" s="42">
        <f t="shared" si="5"/>
        <v>0</v>
      </c>
      <c r="G37" s="42">
        <f t="shared" ref="G37:M37" si="66">VLOOKUP(G20,$B$48:$J$59,7,0)</f>
        <v>10</v>
      </c>
      <c r="H37" s="42">
        <f t="shared" si="66"/>
        <v>8</v>
      </c>
      <c r="I37" s="42">
        <f t="shared" si="66"/>
        <v>10</v>
      </c>
      <c r="J37" s="42">
        <f>VLOOKUP(J20,$B$48:$H$59,7,0)</f>
        <v>7</v>
      </c>
      <c r="K37" s="42">
        <f t="shared" si="66"/>
        <v>0</v>
      </c>
      <c r="L37" s="42">
        <f t="shared" si="66"/>
        <v>0</v>
      </c>
      <c r="M37" s="42">
        <f t="shared" si="66"/>
        <v>0</v>
      </c>
      <c r="N37" s="42">
        <f>SUM(G37:M37)</f>
        <v>35</v>
      </c>
      <c r="O37" s="42">
        <f t="shared" ref="O37:S37" si="67">VLOOKUP(O20,$B$48:$H$59,7,0)</f>
        <v>10</v>
      </c>
      <c r="P37" s="42">
        <f t="shared" si="67"/>
        <v>8</v>
      </c>
      <c r="Q37" s="42">
        <f t="shared" si="67"/>
        <v>10</v>
      </c>
      <c r="R37" s="42">
        <f t="shared" si="67"/>
        <v>8</v>
      </c>
      <c r="S37" s="42">
        <f t="shared" si="67"/>
        <v>10</v>
      </c>
      <c r="T37" s="42">
        <f t="shared" ref="T37:U37" si="68">VLOOKUP(T20,$B$48:$J$59,7,0)</f>
        <v>0</v>
      </c>
      <c r="U37" s="42">
        <f t="shared" si="68"/>
        <v>0</v>
      </c>
      <c r="V37" s="42">
        <f t="shared" si="11"/>
        <v>46</v>
      </c>
      <c r="W37" s="42">
        <f t="shared" ref="W37" si="69">VLOOKUP(W20,$B$48:$J$59,7,0)</f>
        <v>0</v>
      </c>
      <c r="X37" s="42">
        <f t="shared" ref="X37:AB37" si="70">VLOOKUP(X20,$B$48:$H$59,7,0)</f>
        <v>8</v>
      </c>
      <c r="Y37" s="42">
        <f t="shared" si="70"/>
        <v>10</v>
      </c>
      <c r="Z37" s="42">
        <f t="shared" si="70"/>
        <v>7</v>
      </c>
      <c r="AA37" s="42">
        <f t="shared" si="70"/>
        <v>10</v>
      </c>
      <c r="AB37" s="42">
        <f t="shared" si="70"/>
        <v>0</v>
      </c>
      <c r="AC37" s="42">
        <f t="shared" ref="AC37" si="71">VLOOKUP(AC21,$B$48:$J$59,7,0)</f>
        <v>0</v>
      </c>
      <c r="AD37" s="42">
        <f t="shared" si="14"/>
        <v>35</v>
      </c>
      <c r="AE37" s="42">
        <f t="shared" ref="AE37:AH37" si="72">VLOOKUP(AE20,$B$48:$J$59,7,0)</f>
        <v>7</v>
      </c>
      <c r="AF37" s="42">
        <f t="shared" si="72"/>
        <v>10</v>
      </c>
      <c r="AG37" s="42">
        <f t="shared" si="72"/>
        <v>8</v>
      </c>
      <c r="AH37" s="42">
        <f t="shared" si="72"/>
        <v>10</v>
      </c>
      <c r="AI37" s="42">
        <f>VLOOKUP(AI20,$B$48:$J$59,7,0)</f>
        <v>7</v>
      </c>
      <c r="AJ37" s="42">
        <f t="shared" ref="AJ37:AK37" si="73">VLOOKUP(AJ21,$B$48:$J$59,7,0)</f>
        <v>0</v>
      </c>
      <c r="AK37" s="42">
        <f t="shared" si="73"/>
        <v>0</v>
      </c>
      <c r="AL37" s="42">
        <f t="shared" si="19"/>
        <v>42</v>
      </c>
      <c r="AM37" s="42">
        <f t="shared" si="4"/>
        <v>10</v>
      </c>
      <c r="AN37" s="42">
        <f t="shared" si="20"/>
        <v>1</v>
      </c>
      <c r="AO37" s="42">
        <f t="shared" si="21"/>
        <v>11</v>
      </c>
      <c r="AP37" s="85">
        <f t="shared" si="22"/>
        <v>169</v>
      </c>
      <c r="AQ37" s="86"/>
      <c r="AR37" s="86"/>
      <c r="AS37" s="87"/>
    </row>
    <row r="38" spans="1:45" ht="16.5">
      <c r="A38" s="6"/>
      <c r="B38" s="4" t="str">
        <f t="shared" si="0"/>
        <v xml:space="preserve">JAHIRA CANDELA </v>
      </c>
      <c r="C38" s="41" t="str">
        <f t="shared" si="0"/>
        <v>SANTANDER</v>
      </c>
      <c r="D38" s="42">
        <f t="shared" si="1"/>
        <v>0</v>
      </c>
      <c r="E38" s="42">
        <f t="shared" si="1"/>
        <v>0</v>
      </c>
      <c r="F38" s="42">
        <f t="shared" si="5"/>
        <v>0</v>
      </c>
      <c r="G38" s="42">
        <f t="shared" ref="G38:M38" si="74">VLOOKUP(G21,$B$48:$J$59,7,0)</f>
        <v>9</v>
      </c>
      <c r="H38" s="42">
        <f t="shared" si="74"/>
        <v>9</v>
      </c>
      <c r="I38" s="42">
        <f t="shared" si="74"/>
        <v>9</v>
      </c>
      <c r="J38" s="42">
        <f t="shared" si="74"/>
        <v>9</v>
      </c>
      <c r="K38" s="42">
        <f t="shared" si="74"/>
        <v>0</v>
      </c>
      <c r="L38" s="42">
        <f t="shared" si="74"/>
        <v>0</v>
      </c>
      <c r="M38" s="42">
        <f t="shared" si="74"/>
        <v>0</v>
      </c>
      <c r="N38" s="42">
        <f t="shared" si="7"/>
        <v>36</v>
      </c>
      <c r="O38" s="42">
        <f t="shared" ref="O38:Q38" si="75">VLOOKUP(O21,$B$48:$J$59,7,0)</f>
        <v>9</v>
      </c>
      <c r="P38" s="42">
        <f t="shared" si="75"/>
        <v>9</v>
      </c>
      <c r="Q38" s="42">
        <f t="shared" si="75"/>
        <v>9</v>
      </c>
      <c r="R38" s="42">
        <f t="shared" si="9"/>
        <v>9</v>
      </c>
      <c r="S38" s="42">
        <f t="shared" ref="S38:U38" si="76">VLOOKUP(S21,$B$48:$J$59,7,0)</f>
        <v>8</v>
      </c>
      <c r="T38" s="42">
        <f t="shared" si="76"/>
        <v>0</v>
      </c>
      <c r="U38" s="42">
        <f t="shared" si="76"/>
        <v>0</v>
      </c>
      <c r="V38" s="42">
        <f t="shared" si="11"/>
        <v>44</v>
      </c>
      <c r="W38" s="42">
        <f t="shared" ref="W38:AA38" si="77">VLOOKUP(W21,$B$48:$J$59,7,0)</f>
        <v>0</v>
      </c>
      <c r="X38" s="42">
        <f t="shared" si="77"/>
        <v>9</v>
      </c>
      <c r="Y38" s="42">
        <f t="shared" si="77"/>
        <v>9</v>
      </c>
      <c r="Z38" s="42">
        <f t="shared" si="77"/>
        <v>9</v>
      </c>
      <c r="AA38" s="42">
        <f t="shared" si="77"/>
        <v>8</v>
      </c>
      <c r="AB38" s="42">
        <f t="shared" ref="AB38:AC38" si="78">VLOOKUP(AB22,$B$48:$J$59,7,0)</f>
        <v>0</v>
      </c>
      <c r="AC38" s="42">
        <f t="shared" si="78"/>
        <v>0</v>
      </c>
      <c r="AD38" s="42">
        <f t="shared" si="14"/>
        <v>35</v>
      </c>
      <c r="AE38" s="42">
        <f t="shared" si="15"/>
        <v>8</v>
      </c>
      <c r="AF38" s="42">
        <f t="shared" ref="AF38:AH38" si="79">VLOOKUP(AF21,$B$48:$J$59,7,0)</f>
        <v>9</v>
      </c>
      <c r="AG38" s="42">
        <f t="shared" si="79"/>
        <v>9</v>
      </c>
      <c r="AH38" s="42">
        <f t="shared" si="79"/>
        <v>9</v>
      </c>
      <c r="AI38" s="42">
        <f t="shared" si="17"/>
        <v>9</v>
      </c>
      <c r="AJ38" s="42">
        <f t="shared" ref="AJ38:AK38" si="80">VLOOKUP(AJ22,$B$48:$J$59,7,0)</f>
        <v>0</v>
      </c>
      <c r="AK38" s="42">
        <f t="shared" si="80"/>
        <v>0</v>
      </c>
      <c r="AL38" s="42">
        <f t="shared" si="19"/>
        <v>44</v>
      </c>
      <c r="AM38" s="42">
        <f t="shared" si="4"/>
        <v>9</v>
      </c>
      <c r="AN38" s="42">
        <f t="shared" si="20"/>
        <v>1</v>
      </c>
      <c r="AO38" s="42">
        <f t="shared" si="21"/>
        <v>10</v>
      </c>
      <c r="AP38" s="85">
        <f t="shared" si="22"/>
        <v>169</v>
      </c>
      <c r="AQ38" s="86"/>
      <c r="AR38" s="86"/>
      <c r="AS38" s="87"/>
    </row>
    <row r="39" spans="1:45" ht="16.5">
      <c r="A39" s="6"/>
      <c r="B39" s="4" t="str">
        <f t="shared" si="0"/>
        <v>YULLY MARIANA CHAVEZ</v>
      </c>
      <c r="C39" s="41" t="str">
        <f t="shared" si="0"/>
        <v>SAN RAFAEL</v>
      </c>
      <c r="D39" s="42">
        <f t="shared" si="1"/>
        <v>0</v>
      </c>
      <c r="E39" s="42">
        <f t="shared" si="1"/>
        <v>0</v>
      </c>
      <c r="F39" s="42">
        <f t="shared" si="5"/>
        <v>0</v>
      </c>
      <c r="G39" s="42">
        <f t="shared" ref="G39:M39" si="81">VLOOKUP(G22,$B$48:$J$59,7,0)</f>
        <v>9</v>
      </c>
      <c r="H39" s="42">
        <f t="shared" si="81"/>
        <v>9</v>
      </c>
      <c r="I39" s="42">
        <f t="shared" si="81"/>
        <v>9</v>
      </c>
      <c r="J39" s="42">
        <f t="shared" si="81"/>
        <v>9</v>
      </c>
      <c r="K39" s="42">
        <f t="shared" si="81"/>
        <v>0</v>
      </c>
      <c r="L39" s="42">
        <f t="shared" si="81"/>
        <v>0</v>
      </c>
      <c r="M39" s="42">
        <f t="shared" si="81"/>
        <v>0</v>
      </c>
      <c r="N39" s="42">
        <f t="shared" si="7"/>
        <v>36</v>
      </c>
      <c r="O39" s="42">
        <f t="shared" ref="O39:Q39" si="82">VLOOKUP(O22,$B$48:$J$59,7,0)</f>
        <v>9</v>
      </c>
      <c r="P39" s="42">
        <f t="shared" si="82"/>
        <v>9</v>
      </c>
      <c r="Q39" s="42">
        <f t="shared" si="82"/>
        <v>9</v>
      </c>
      <c r="R39" s="42">
        <f t="shared" si="9"/>
        <v>9</v>
      </c>
      <c r="S39" s="42">
        <f t="shared" ref="S39:U39" si="83">VLOOKUP(S22,$B$48:$J$59,7,0)</f>
        <v>8</v>
      </c>
      <c r="T39" s="42">
        <f t="shared" si="83"/>
        <v>0</v>
      </c>
      <c r="U39" s="42">
        <f t="shared" si="83"/>
        <v>0</v>
      </c>
      <c r="V39" s="42">
        <f t="shared" si="11"/>
        <v>44</v>
      </c>
      <c r="W39" s="42">
        <f t="shared" ref="W39:AA39" si="84">VLOOKUP(W22,$B$48:$J$59,7,0)</f>
        <v>0</v>
      </c>
      <c r="X39" s="42">
        <f t="shared" si="84"/>
        <v>9</v>
      </c>
      <c r="Y39" s="42">
        <f t="shared" si="84"/>
        <v>9</v>
      </c>
      <c r="Z39" s="42">
        <f t="shared" si="84"/>
        <v>9</v>
      </c>
      <c r="AA39" s="42">
        <f t="shared" si="84"/>
        <v>8</v>
      </c>
      <c r="AB39" s="42">
        <f t="shared" ref="AB39:AC39" si="85">VLOOKUP(AB23,$B$48:$J$59,7,0)</f>
        <v>0</v>
      </c>
      <c r="AC39" s="42">
        <f t="shared" si="85"/>
        <v>0</v>
      </c>
      <c r="AD39" s="42">
        <f t="shared" si="14"/>
        <v>35</v>
      </c>
      <c r="AE39" s="42">
        <f t="shared" si="15"/>
        <v>8</v>
      </c>
      <c r="AF39" s="42">
        <f t="shared" ref="AF39:AH39" si="86">VLOOKUP(AF22,$B$48:$J$59,7,0)</f>
        <v>9</v>
      </c>
      <c r="AG39" s="42">
        <f t="shared" si="86"/>
        <v>9</v>
      </c>
      <c r="AH39" s="42">
        <f t="shared" si="86"/>
        <v>9</v>
      </c>
      <c r="AI39" s="42">
        <f t="shared" si="17"/>
        <v>9</v>
      </c>
      <c r="AJ39" s="42">
        <f t="shared" ref="AJ39:AK39" si="87">VLOOKUP(AJ23,$B$48:$J$59,7,0)</f>
        <v>0</v>
      </c>
      <c r="AK39" s="42">
        <f t="shared" si="87"/>
        <v>0</v>
      </c>
      <c r="AL39" s="42">
        <f t="shared" si="19"/>
        <v>44</v>
      </c>
      <c r="AM39" s="42">
        <f t="shared" si="4"/>
        <v>9</v>
      </c>
      <c r="AN39" s="42">
        <f t="shared" si="20"/>
        <v>1</v>
      </c>
      <c r="AO39" s="42">
        <f t="shared" si="21"/>
        <v>10</v>
      </c>
      <c r="AP39" s="85">
        <f t="shared" si="22"/>
        <v>169</v>
      </c>
      <c r="AQ39" s="86"/>
      <c r="AR39" s="86"/>
      <c r="AS39" s="87"/>
    </row>
    <row r="40" spans="1:45" ht="16.5">
      <c r="A40" s="6"/>
      <c r="B40" s="4" t="str">
        <f t="shared" si="0"/>
        <v>KAROL YULIANA ROZO</v>
      </c>
      <c r="C40" s="41" t="str">
        <f t="shared" si="0"/>
        <v>REGADEROS</v>
      </c>
      <c r="D40" s="42">
        <f t="shared" si="1"/>
        <v>0</v>
      </c>
      <c r="E40" s="42">
        <f t="shared" si="1"/>
        <v>0</v>
      </c>
      <c r="F40" s="42">
        <f t="shared" si="5"/>
        <v>0</v>
      </c>
      <c r="G40" s="42">
        <f t="shared" ref="G40:M40" si="88">VLOOKUP(G23,$B$48:$J$59,7,0)</f>
        <v>9</v>
      </c>
      <c r="H40" s="42">
        <f t="shared" si="88"/>
        <v>9</v>
      </c>
      <c r="I40" s="42">
        <f t="shared" si="88"/>
        <v>9</v>
      </c>
      <c r="J40" s="42">
        <f t="shared" si="88"/>
        <v>9</v>
      </c>
      <c r="K40" s="42">
        <f t="shared" si="88"/>
        <v>0</v>
      </c>
      <c r="L40" s="42">
        <f t="shared" si="88"/>
        <v>0</v>
      </c>
      <c r="M40" s="42">
        <f t="shared" si="88"/>
        <v>0</v>
      </c>
      <c r="N40" s="42">
        <f t="shared" si="7"/>
        <v>36</v>
      </c>
      <c r="O40" s="42">
        <f t="shared" ref="O40:Q40" si="89">VLOOKUP(O23,$B$48:$J$59,7,0)</f>
        <v>9</v>
      </c>
      <c r="P40" s="42">
        <f t="shared" si="89"/>
        <v>9</v>
      </c>
      <c r="Q40" s="42">
        <f t="shared" si="89"/>
        <v>9</v>
      </c>
      <c r="R40" s="42">
        <f t="shared" si="9"/>
        <v>9</v>
      </c>
      <c r="S40" s="42">
        <f t="shared" ref="S40:U40" si="90">VLOOKUP(S23,$B$48:$J$59,7,0)</f>
        <v>8</v>
      </c>
      <c r="T40" s="42">
        <f t="shared" si="90"/>
        <v>0</v>
      </c>
      <c r="U40" s="42">
        <f t="shared" si="90"/>
        <v>0</v>
      </c>
      <c r="V40" s="42">
        <f t="shared" si="11"/>
        <v>44</v>
      </c>
      <c r="W40" s="42">
        <f t="shared" ref="W40:AA40" si="91">VLOOKUP(W23,$B$48:$J$59,7,0)</f>
        <v>0</v>
      </c>
      <c r="X40" s="42">
        <f t="shared" si="91"/>
        <v>9</v>
      </c>
      <c r="Y40" s="42">
        <f t="shared" si="91"/>
        <v>9</v>
      </c>
      <c r="Z40" s="42">
        <f t="shared" si="91"/>
        <v>9</v>
      </c>
      <c r="AA40" s="42">
        <f t="shared" si="91"/>
        <v>8</v>
      </c>
      <c r="AB40" s="42">
        <f t="shared" ref="AB40:AC40" si="92">VLOOKUP(AB24,$B$48:$J$59,7,0)</f>
        <v>0</v>
      </c>
      <c r="AC40" s="42">
        <f t="shared" si="92"/>
        <v>0</v>
      </c>
      <c r="AD40" s="42">
        <f t="shared" si="14"/>
        <v>35</v>
      </c>
      <c r="AE40" s="42">
        <f t="shared" si="15"/>
        <v>8</v>
      </c>
      <c r="AF40" s="42">
        <f t="shared" ref="AF40:AH40" si="93">VLOOKUP(AF23,$B$48:$J$59,7,0)</f>
        <v>9</v>
      </c>
      <c r="AG40" s="42">
        <f t="shared" si="93"/>
        <v>9</v>
      </c>
      <c r="AH40" s="42">
        <f t="shared" si="93"/>
        <v>9</v>
      </c>
      <c r="AI40" s="42">
        <f t="shared" si="17"/>
        <v>9</v>
      </c>
      <c r="AJ40" s="42">
        <f t="shared" ref="AJ40:AK40" si="94">VLOOKUP(AJ24,$B$48:$J$59,7,0)</f>
        <v>0</v>
      </c>
      <c r="AK40" s="42">
        <f t="shared" si="94"/>
        <v>0</v>
      </c>
      <c r="AL40" s="42">
        <f t="shared" si="19"/>
        <v>44</v>
      </c>
      <c r="AM40" s="42">
        <f t="shared" si="4"/>
        <v>9</v>
      </c>
      <c r="AN40" s="42">
        <f t="shared" si="20"/>
        <v>1</v>
      </c>
      <c r="AO40" s="42">
        <f t="shared" si="21"/>
        <v>10</v>
      </c>
      <c r="AP40" s="85">
        <f t="shared" si="22"/>
        <v>169</v>
      </c>
      <c r="AQ40" s="86"/>
      <c r="AR40" s="86"/>
      <c r="AS40" s="87"/>
    </row>
    <row r="41" spans="1:45" ht="16.5">
      <c r="A41" s="6"/>
      <c r="B41" s="4" t="str">
        <f t="shared" si="0"/>
        <v>LAURA ORTEGA</v>
      </c>
      <c r="C41" s="41" t="str">
        <f t="shared" si="0"/>
        <v xml:space="preserve">GAITAN </v>
      </c>
      <c r="D41" s="42">
        <f t="shared" si="1"/>
        <v>0</v>
      </c>
      <c r="E41" s="42">
        <f t="shared" si="1"/>
        <v>0</v>
      </c>
      <c r="F41" s="42">
        <f t="shared" si="5"/>
        <v>0</v>
      </c>
      <c r="G41" s="42">
        <f t="shared" ref="G41:M41" si="95">VLOOKUP(G24,$B$48:$J$59,7,0)</f>
        <v>9</v>
      </c>
      <c r="H41" s="42">
        <f t="shared" si="95"/>
        <v>9</v>
      </c>
      <c r="I41" s="42">
        <f t="shared" si="95"/>
        <v>9</v>
      </c>
      <c r="J41" s="42">
        <f t="shared" si="95"/>
        <v>9</v>
      </c>
      <c r="K41" s="42">
        <f t="shared" si="95"/>
        <v>0</v>
      </c>
      <c r="L41" s="42">
        <f t="shared" si="95"/>
        <v>0</v>
      </c>
      <c r="M41" s="42">
        <f t="shared" si="95"/>
        <v>0</v>
      </c>
      <c r="N41" s="42">
        <f t="shared" si="7"/>
        <v>36</v>
      </c>
      <c r="O41" s="42">
        <f t="shared" ref="O41:Q41" si="96">VLOOKUP(O24,$B$48:$J$59,7,0)</f>
        <v>9</v>
      </c>
      <c r="P41" s="42">
        <f t="shared" si="96"/>
        <v>9</v>
      </c>
      <c r="Q41" s="42">
        <f t="shared" si="96"/>
        <v>9</v>
      </c>
      <c r="R41" s="42">
        <f t="shared" si="9"/>
        <v>9</v>
      </c>
      <c r="S41" s="42">
        <f t="shared" ref="S41:U41" si="97">VLOOKUP(S24,$B$48:$J$59,7,0)</f>
        <v>8</v>
      </c>
      <c r="T41" s="42">
        <f t="shared" si="97"/>
        <v>0</v>
      </c>
      <c r="U41" s="42">
        <f t="shared" si="97"/>
        <v>0</v>
      </c>
      <c r="V41" s="42">
        <f t="shared" si="11"/>
        <v>44</v>
      </c>
      <c r="W41" s="42">
        <f t="shared" ref="W41:AA41" si="98">VLOOKUP(W24,$B$48:$J$59,7,0)</f>
        <v>0</v>
      </c>
      <c r="X41" s="42">
        <f t="shared" si="98"/>
        <v>9</v>
      </c>
      <c r="Y41" s="42">
        <f t="shared" si="98"/>
        <v>9</v>
      </c>
      <c r="Z41" s="42">
        <f t="shared" si="98"/>
        <v>9</v>
      </c>
      <c r="AA41" s="42">
        <f t="shared" si="98"/>
        <v>8</v>
      </c>
      <c r="AB41" s="42">
        <f>VLOOKUP(AB24,$B$48:$J$59,7,0)</f>
        <v>0</v>
      </c>
      <c r="AC41" s="42">
        <f>VLOOKUP(AC24,$B$48:$J$59,7,0)</f>
        <v>0</v>
      </c>
      <c r="AD41" s="42">
        <f t="shared" si="14"/>
        <v>35</v>
      </c>
      <c r="AE41" s="42">
        <f t="shared" si="15"/>
        <v>8</v>
      </c>
      <c r="AF41" s="42">
        <f t="shared" ref="AF41:AH41" si="99">VLOOKUP(AF24,$B$48:$J$59,7,0)</f>
        <v>9</v>
      </c>
      <c r="AG41" s="42">
        <f t="shared" si="99"/>
        <v>9</v>
      </c>
      <c r="AH41" s="42">
        <f t="shared" si="99"/>
        <v>9</v>
      </c>
      <c r="AI41" s="42">
        <f t="shared" si="17"/>
        <v>9</v>
      </c>
      <c r="AJ41" s="42">
        <f>VLOOKUP(AJ24,$B$48:$J$59,7,0)</f>
        <v>0</v>
      </c>
      <c r="AK41" s="42">
        <f>VLOOKUP(AK24,$B$48:$J$59,7,0)</f>
        <v>0</v>
      </c>
      <c r="AL41" s="42">
        <f t="shared" si="19"/>
        <v>44</v>
      </c>
      <c r="AM41" s="42">
        <f t="shared" si="4"/>
        <v>9</v>
      </c>
      <c r="AN41" s="42">
        <f t="shared" si="20"/>
        <v>1</v>
      </c>
      <c r="AO41" s="42">
        <f t="shared" si="21"/>
        <v>10</v>
      </c>
      <c r="AP41" s="85">
        <f t="shared" si="22"/>
        <v>169</v>
      </c>
      <c r="AQ41" s="86"/>
      <c r="AR41" s="86"/>
      <c r="AS41" s="87"/>
    </row>
    <row r="42" spans="1:45" ht="16.5">
      <c r="A42" s="6"/>
      <c r="B42" s="104" t="s">
        <v>31</v>
      </c>
      <c r="C42" s="105"/>
      <c r="D42" s="40">
        <f>SUM(D29:D41)</f>
        <v>0</v>
      </c>
      <c r="E42" s="40">
        <f t="shared" ref="E42:J42" si="100">SUM(E29:E41)</f>
        <v>0</v>
      </c>
      <c r="F42" s="40"/>
      <c r="G42" s="40">
        <f t="shared" si="100"/>
        <v>117</v>
      </c>
      <c r="H42" s="40">
        <f t="shared" si="100"/>
        <v>117</v>
      </c>
      <c r="I42" s="40">
        <f t="shared" si="100"/>
        <v>117</v>
      </c>
      <c r="J42" s="40">
        <f t="shared" si="100"/>
        <v>116</v>
      </c>
      <c r="K42" s="40">
        <f>SUM(K29:K41)</f>
        <v>0</v>
      </c>
      <c r="L42" s="40">
        <f t="shared" ref="L42" si="101">SUM(L29:L41)</f>
        <v>0</v>
      </c>
      <c r="M42" s="40">
        <f t="shared" ref="M42" si="102">SUM(M29:M41)</f>
        <v>0</v>
      </c>
      <c r="N42" s="40"/>
      <c r="O42" s="40">
        <f t="shared" ref="O42" si="103">SUM(O29:O41)</f>
        <v>117</v>
      </c>
      <c r="P42" s="40">
        <f t="shared" ref="P42" si="104">SUM(P29:P41)</f>
        <v>117</v>
      </c>
      <c r="Q42" s="40">
        <f t="shared" ref="Q42" si="105">SUM(Q29:Q41)</f>
        <v>117</v>
      </c>
      <c r="R42" s="40">
        <f t="shared" ref="R42:S42" si="106">SUM(R29:R41)</f>
        <v>117</v>
      </c>
      <c r="S42" s="40">
        <f t="shared" si="106"/>
        <v>106</v>
      </c>
      <c r="T42" s="40">
        <f>SUM(T29:T41)</f>
        <v>0</v>
      </c>
      <c r="U42" s="40">
        <f t="shared" ref="U42" si="107">SUM(U29:U41)</f>
        <v>0</v>
      </c>
      <c r="V42" s="40"/>
      <c r="W42" s="40">
        <f t="shared" ref="W42" si="108">SUM(W29:W41)</f>
        <v>0</v>
      </c>
      <c r="X42" s="40">
        <f t="shared" ref="X42" si="109">SUM(X29:X41)</f>
        <v>117</v>
      </c>
      <c r="Y42" s="40">
        <f t="shared" ref="Y42" si="110">SUM(Y29:Y41)</f>
        <v>117</v>
      </c>
      <c r="Z42" s="40">
        <f t="shared" ref="Z42" si="111">SUM(Z29:Z41)</f>
        <v>116</v>
      </c>
      <c r="AA42" s="40">
        <f t="shared" ref="AA42:AB42" si="112">SUM(AA29:AA41)</f>
        <v>106</v>
      </c>
      <c r="AB42" s="40">
        <f t="shared" si="112"/>
        <v>0</v>
      </c>
      <c r="AC42" s="40">
        <f>SUM(AC29:AC41)</f>
        <v>0</v>
      </c>
      <c r="AD42" s="40"/>
      <c r="AE42" s="40">
        <f t="shared" ref="AE42" si="113">SUM(AE29:AE41)</f>
        <v>103</v>
      </c>
      <c r="AF42" s="40">
        <f t="shared" ref="AF42" si="114">SUM(AF29:AF41)</f>
        <v>117</v>
      </c>
      <c r="AG42" s="40">
        <f t="shared" ref="AG42" si="115">SUM(AG29:AG41)</f>
        <v>117</v>
      </c>
      <c r="AH42" s="40">
        <f t="shared" ref="AH42" si="116">SUM(AH29:AH41)</f>
        <v>117</v>
      </c>
      <c r="AI42" s="40">
        <f t="shared" ref="AI42" si="117">SUM(AI29:AI41)</f>
        <v>116</v>
      </c>
      <c r="AJ42" s="40">
        <f t="shared" ref="AJ42:AK42" si="118">SUM(AJ29:AJ41)</f>
        <v>0</v>
      </c>
      <c r="AK42" s="40">
        <f t="shared" si="118"/>
        <v>0</v>
      </c>
      <c r="AL42" s="40"/>
      <c r="AM42" s="40">
        <f>SUM(AM29:AM41)</f>
        <v>117</v>
      </c>
      <c r="AN42" s="40">
        <f t="shared" ref="AN42" si="119">SUM(AN29:AN41)</f>
        <v>13</v>
      </c>
      <c r="AO42" s="40">
        <f t="shared" ref="AO42" si="120">SUM(AO29:AO41)</f>
        <v>130</v>
      </c>
      <c r="AP42" s="88">
        <f t="shared" ref="AP42" si="121">SUM(AP29:AP41)</f>
        <v>2197</v>
      </c>
      <c r="AQ42" s="89"/>
      <c r="AR42" s="89"/>
      <c r="AS42" s="90"/>
    </row>
    <row r="43" spans="1:45" ht="15.75">
      <c r="A43" s="6"/>
      <c r="B43" s="8"/>
      <c r="C43" s="8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</row>
    <row r="44" spans="1:45" ht="15.75">
      <c r="A44" s="6"/>
      <c r="B44" s="8"/>
      <c r="C44" s="8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</row>
    <row r="45" spans="1:45" ht="16.5">
      <c r="A45" s="6"/>
      <c r="B45" s="11" t="s">
        <v>18</v>
      </c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</row>
    <row r="46" spans="1:45" ht="16.5" thickBot="1">
      <c r="A46" s="2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7"/>
      <c r="AR46" s="22"/>
      <c r="AS46" s="22"/>
    </row>
    <row r="47" spans="1:45" ht="16.350000000000001" customHeight="1" thickBot="1">
      <c r="A47" s="2"/>
      <c r="B47" s="79" t="s">
        <v>19</v>
      </c>
      <c r="C47" s="80"/>
      <c r="D47" s="80"/>
      <c r="E47" s="80"/>
      <c r="F47" s="80"/>
      <c r="G47" s="80"/>
      <c r="H47" s="80"/>
      <c r="J47" s="22"/>
      <c r="K47" s="22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22"/>
      <c r="AD47" s="22"/>
      <c r="AE47" s="22"/>
      <c r="AF47" s="27"/>
      <c r="AG47" s="22"/>
      <c r="AH47" s="22"/>
      <c r="AI47" s="2"/>
    </row>
    <row r="48" spans="1:45" ht="15.6" customHeight="1">
      <c r="A48" s="2"/>
      <c r="B48" s="46" t="s">
        <v>20</v>
      </c>
      <c r="C48" s="47"/>
      <c r="D48" s="48" t="s">
        <v>21</v>
      </c>
      <c r="E48" s="48" t="s">
        <v>22</v>
      </c>
      <c r="F48" s="48" t="s">
        <v>21</v>
      </c>
      <c r="G48" s="48" t="s">
        <v>22</v>
      </c>
      <c r="H48" s="69" t="s">
        <v>17</v>
      </c>
      <c r="J48" s="10"/>
      <c r="K48" s="109"/>
      <c r="L48" s="109"/>
      <c r="M48" s="109"/>
      <c r="N48" s="109"/>
      <c r="O48" s="109"/>
      <c r="P48" s="109"/>
      <c r="Q48" s="109"/>
      <c r="R48" s="22"/>
      <c r="S48" s="109"/>
      <c r="T48" s="109"/>
      <c r="U48" s="26"/>
      <c r="V48" s="26"/>
    </row>
    <row r="49" spans="1:45" ht="15.75">
      <c r="A49" s="2"/>
      <c r="B49" s="13" t="s">
        <v>11</v>
      </c>
      <c r="C49" s="81" t="s">
        <v>7</v>
      </c>
      <c r="D49" s="44">
        <v>0.25</v>
      </c>
      <c r="E49" s="44">
        <v>0.5</v>
      </c>
      <c r="F49" s="44">
        <v>0.52083333333333304</v>
      </c>
      <c r="G49" s="44">
        <v>0.64583333333333337</v>
      </c>
      <c r="H49" s="70">
        <v>9</v>
      </c>
      <c r="J49" s="8"/>
      <c r="K49" s="8"/>
      <c r="L49" s="10"/>
      <c r="M49" s="10"/>
      <c r="N49" s="10"/>
      <c r="O49" s="28"/>
      <c r="P49" s="27"/>
      <c r="Q49" s="22"/>
      <c r="R49" s="12"/>
      <c r="S49" s="2"/>
      <c r="T49" s="2"/>
      <c r="U49" s="2"/>
    </row>
    <row r="50" spans="1:45" ht="15.75">
      <c r="A50" s="2"/>
      <c r="B50" s="13" t="s">
        <v>41</v>
      </c>
      <c r="C50" s="81" t="s">
        <v>42</v>
      </c>
      <c r="D50" s="44">
        <v>0.25</v>
      </c>
      <c r="E50" s="44">
        <v>0.5</v>
      </c>
      <c r="F50" s="44">
        <v>0.54166666666666696</v>
      </c>
      <c r="G50" s="44">
        <v>0.6875</v>
      </c>
      <c r="H50" s="70">
        <v>9.5</v>
      </c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</row>
    <row r="51" spans="1:45" ht="15.75">
      <c r="A51" s="2"/>
      <c r="B51" s="14" t="s">
        <v>36</v>
      </c>
      <c r="C51" s="81" t="s">
        <v>43</v>
      </c>
      <c r="D51" s="44">
        <v>0.27083333333333298</v>
      </c>
      <c r="E51" s="44">
        <v>0.5</v>
      </c>
      <c r="F51" s="44">
        <v>0.52083333333333304</v>
      </c>
      <c r="G51" s="44">
        <v>0.66666666666666663</v>
      </c>
      <c r="H51" s="70">
        <v>8.5</v>
      </c>
      <c r="J51" s="109"/>
      <c r="K51" s="109"/>
      <c r="L51" s="109"/>
      <c r="M51" s="109"/>
      <c r="N51" s="109"/>
      <c r="O51" s="109"/>
      <c r="P51" s="109"/>
      <c r="Q51" s="22"/>
      <c r="R51" s="110"/>
      <c r="S51" s="110"/>
      <c r="T51" s="29"/>
      <c r="U51" s="29"/>
    </row>
    <row r="52" spans="1:45" ht="15.75">
      <c r="A52" s="2"/>
      <c r="B52" s="14" t="s">
        <v>40</v>
      </c>
      <c r="C52" s="81" t="s">
        <v>44</v>
      </c>
      <c r="D52" s="44">
        <v>0.25</v>
      </c>
      <c r="E52" s="44">
        <v>0.5</v>
      </c>
      <c r="F52" s="44">
        <v>0.52083333333333304</v>
      </c>
      <c r="G52" s="44">
        <v>0.625</v>
      </c>
      <c r="H52" s="70">
        <v>8.5</v>
      </c>
      <c r="J52" s="26"/>
      <c r="K52" s="26"/>
      <c r="L52" s="26"/>
      <c r="M52" s="26"/>
      <c r="N52" s="26"/>
      <c r="O52" s="26"/>
      <c r="P52" s="26"/>
      <c r="Q52" s="22"/>
      <c r="R52" s="29"/>
      <c r="S52" s="29"/>
      <c r="T52" s="29"/>
      <c r="U52" s="29"/>
    </row>
    <row r="53" spans="1:45" ht="15.75">
      <c r="A53" s="2"/>
      <c r="B53" s="14" t="s">
        <v>39</v>
      </c>
      <c r="C53" s="81" t="s">
        <v>45</v>
      </c>
      <c r="D53" s="44">
        <v>0.25</v>
      </c>
      <c r="E53" s="44">
        <v>0.5</v>
      </c>
      <c r="F53" s="44">
        <v>0.52083333333333304</v>
      </c>
      <c r="G53" s="44">
        <v>0.60416666666666663</v>
      </c>
      <c r="H53" s="70">
        <v>8</v>
      </c>
      <c r="J53" s="26"/>
      <c r="K53" s="26"/>
      <c r="L53" s="26"/>
      <c r="M53" s="26"/>
      <c r="N53" s="26"/>
      <c r="O53" s="26"/>
      <c r="P53" s="26"/>
      <c r="Q53" s="22"/>
      <c r="R53" s="29"/>
      <c r="S53" s="29"/>
      <c r="T53" s="29"/>
      <c r="U53" s="29"/>
    </row>
    <row r="54" spans="1:45" ht="15.75">
      <c r="A54" s="2"/>
      <c r="B54" s="14" t="s">
        <v>35</v>
      </c>
      <c r="C54" s="81" t="s">
        <v>46</v>
      </c>
      <c r="D54" s="44">
        <v>0.27083333333333298</v>
      </c>
      <c r="E54" s="44">
        <v>0.5</v>
      </c>
      <c r="F54" s="44">
        <v>0.52083333333333304</v>
      </c>
      <c r="G54" s="44">
        <v>0.64583333333333304</v>
      </c>
      <c r="H54" s="70">
        <v>8.5</v>
      </c>
      <c r="J54" s="26"/>
      <c r="K54" s="26"/>
      <c r="L54" s="26"/>
      <c r="M54" s="26"/>
      <c r="N54" s="26"/>
      <c r="O54" s="26"/>
      <c r="P54" s="26"/>
      <c r="Q54" s="22"/>
      <c r="R54" s="29"/>
      <c r="S54" s="29"/>
      <c r="T54" s="29"/>
      <c r="U54" s="29"/>
    </row>
    <row r="55" spans="1:45" ht="15.75" customHeight="1">
      <c r="A55" s="2"/>
      <c r="B55" s="14" t="s">
        <v>38</v>
      </c>
      <c r="C55" s="81" t="s">
        <v>47</v>
      </c>
      <c r="D55" s="44">
        <v>0.25</v>
      </c>
      <c r="E55" s="44">
        <v>0.45833333333333298</v>
      </c>
      <c r="F55" s="44">
        <v>0.54166666666666696</v>
      </c>
      <c r="G55" s="44">
        <v>0.75</v>
      </c>
      <c r="H55" s="70">
        <v>10</v>
      </c>
      <c r="J55" s="26"/>
      <c r="K55" s="26"/>
      <c r="L55" s="26"/>
      <c r="M55" s="26"/>
      <c r="N55" s="26"/>
      <c r="O55" s="26"/>
      <c r="P55" s="26"/>
      <c r="Q55" s="22"/>
      <c r="R55" s="29"/>
      <c r="S55" s="29"/>
      <c r="T55" s="29"/>
      <c r="U55" s="29"/>
    </row>
    <row r="56" spans="1:45" ht="15.75">
      <c r="A56" s="2"/>
      <c r="B56" s="14" t="s">
        <v>37</v>
      </c>
      <c r="C56" s="81" t="s">
        <v>48</v>
      </c>
      <c r="D56" s="44">
        <v>0.25</v>
      </c>
      <c r="E56" s="44">
        <v>0.58333333333333337</v>
      </c>
      <c r="F56" s="44"/>
      <c r="G56" s="44"/>
      <c r="H56" s="70">
        <v>8</v>
      </c>
      <c r="J56" s="26"/>
      <c r="K56" s="26"/>
      <c r="L56" s="26"/>
      <c r="M56" s="26"/>
      <c r="N56" s="26"/>
      <c r="O56" s="26"/>
      <c r="P56" s="26"/>
      <c r="Q56" s="22"/>
      <c r="R56" s="29"/>
      <c r="S56" s="29"/>
      <c r="T56" s="29"/>
      <c r="U56" s="29"/>
    </row>
    <row r="57" spans="1:45" ht="15.75">
      <c r="A57" s="2"/>
      <c r="B57" s="14" t="s">
        <v>49</v>
      </c>
      <c r="C57" s="81" t="s">
        <v>50</v>
      </c>
      <c r="D57" s="44">
        <v>0.27083333333333331</v>
      </c>
      <c r="E57" s="44">
        <v>0.5625</v>
      </c>
      <c r="F57" s="45"/>
      <c r="G57" s="45"/>
      <c r="H57" s="84">
        <v>7</v>
      </c>
      <c r="J57" s="26"/>
      <c r="K57" s="26"/>
      <c r="L57" s="26"/>
      <c r="M57" s="26"/>
      <c r="N57" s="26"/>
      <c r="O57" s="26"/>
      <c r="P57" s="26"/>
      <c r="Q57" s="22"/>
      <c r="R57" s="29"/>
      <c r="S57" s="29"/>
      <c r="T57" s="29"/>
      <c r="U57" s="29"/>
    </row>
    <row r="58" spans="1:45" ht="15.75">
      <c r="A58" s="2"/>
      <c r="B58" s="14" t="s">
        <v>12</v>
      </c>
      <c r="C58" s="43" t="s">
        <v>23</v>
      </c>
      <c r="D58" s="44"/>
      <c r="E58" s="44"/>
      <c r="F58" s="45"/>
      <c r="G58" s="45"/>
      <c r="H58" s="70">
        <v>0</v>
      </c>
      <c r="J58" s="10"/>
      <c r="K58" s="10"/>
      <c r="L58" s="10"/>
      <c r="M58" s="10"/>
      <c r="N58" s="10"/>
      <c r="O58" s="30"/>
      <c r="P58" s="27"/>
      <c r="Q58" s="22"/>
      <c r="R58" s="12"/>
      <c r="S58" s="24"/>
      <c r="T58" s="24"/>
      <c r="U58" s="24"/>
    </row>
    <row r="59" spans="1:45" ht="16.5" thickBot="1">
      <c r="A59" s="2"/>
      <c r="B59" s="15" t="s">
        <v>9</v>
      </c>
      <c r="C59" s="72" t="s">
        <v>24</v>
      </c>
      <c r="D59" s="73"/>
      <c r="E59" s="73"/>
      <c r="F59" s="73"/>
      <c r="G59" s="74"/>
      <c r="H59" s="71">
        <v>1</v>
      </c>
      <c r="K59" s="10"/>
      <c r="L59" s="10"/>
      <c r="M59" s="10"/>
      <c r="N59" s="10"/>
      <c r="O59" s="10"/>
      <c r="P59" s="10"/>
      <c r="Q59" s="10"/>
      <c r="R59" s="31"/>
      <c r="S59" s="27"/>
      <c r="T59" s="22"/>
      <c r="U59" s="12"/>
      <c r="V59" s="12"/>
      <c r="W59" s="24"/>
      <c r="X59" s="24"/>
    </row>
    <row r="60" spans="1:45" ht="15.75">
      <c r="A60" s="2"/>
      <c r="B60" s="16"/>
      <c r="C60" s="16"/>
      <c r="D60" s="10"/>
      <c r="E60" s="10"/>
      <c r="F60" s="10"/>
      <c r="G60" s="10"/>
      <c r="H60" s="10"/>
      <c r="I60" s="10"/>
      <c r="J60" s="10"/>
      <c r="K60" s="10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12"/>
      <c r="AG60" s="12"/>
      <c r="AH60" s="12"/>
      <c r="AI60" s="24"/>
    </row>
    <row r="61" spans="1:45" ht="15.75">
      <c r="A61" s="2"/>
      <c r="B61" s="16"/>
      <c r="C61" s="16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12"/>
      <c r="AR61" s="12"/>
      <c r="AS61" s="12"/>
    </row>
    <row r="62" spans="1:45" ht="15.75">
      <c r="A62" s="2"/>
      <c r="B62" s="16"/>
      <c r="C62" s="16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12"/>
      <c r="AR62" s="12"/>
      <c r="AS62" s="12"/>
    </row>
    <row r="63" spans="1:45" ht="15.75">
      <c r="A63" s="2"/>
      <c r="B63" s="16"/>
      <c r="C63" s="16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12"/>
      <c r="AR63" s="12"/>
      <c r="AS63" s="12"/>
    </row>
    <row r="64" spans="1:45" ht="15.75">
      <c r="A64" s="2"/>
      <c r="B64" s="16"/>
      <c r="C64" s="16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12"/>
      <c r="AR64" s="12"/>
      <c r="AS64" s="12"/>
    </row>
    <row r="65" spans="1:45" ht="15.75">
      <c r="A65" s="2"/>
      <c r="B65" s="17"/>
      <c r="C65" s="17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20"/>
      <c r="Q65" s="20"/>
      <c r="R65" s="20"/>
      <c r="S65" s="24"/>
      <c r="T65" s="24"/>
      <c r="U65" s="24"/>
      <c r="V65" s="24"/>
      <c r="W65" s="24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"/>
      <c r="AR65" s="2"/>
      <c r="AS65" s="2"/>
    </row>
    <row r="66" spans="1:45" ht="15.75">
      <c r="A66" s="2"/>
    </row>
    <row r="68" spans="1:45" ht="15.75">
      <c r="C68" s="19"/>
      <c r="D68" s="19"/>
      <c r="E68" s="19"/>
      <c r="F68" s="19"/>
      <c r="G68" s="19"/>
      <c r="H68" s="19"/>
      <c r="I68" s="19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19"/>
      <c r="AI68" s="19"/>
      <c r="AJ68" s="19"/>
      <c r="AK68" s="19"/>
      <c r="AL68" s="19"/>
      <c r="AM68" s="19"/>
      <c r="AN68" s="19"/>
      <c r="AO68" s="19"/>
      <c r="AP68" s="32"/>
      <c r="AQ68" s="32"/>
      <c r="AR68" s="32"/>
      <c r="AS68" s="32"/>
    </row>
    <row r="69" spans="1:45" ht="15.75">
      <c r="C69" s="33"/>
      <c r="D69" s="33"/>
      <c r="E69" s="33"/>
      <c r="F69" s="33"/>
      <c r="G69" s="33"/>
      <c r="H69" s="33"/>
      <c r="I69" s="33"/>
      <c r="AH69" s="19"/>
      <c r="AI69" s="19"/>
      <c r="AJ69" s="19"/>
      <c r="AK69" s="19"/>
      <c r="AL69" s="19"/>
      <c r="AM69" s="19"/>
      <c r="AN69" s="19"/>
      <c r="AO69" s="19"/>
      <c r="AP69" s="32"/>
      <c r="AQ69" s="32"/>
      <c r="AR69" s="32"/>
      <c r="AS69" s="32"/>
    </row>
    <row r="70" spans="1:45" ht="15.75">
      <c r="C70" s="19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78"/>
      <c r="O70" s="36"/>
      <c r="P70" s="36"/>
      <c r="Q70" s="36"/>
      <c r="T70" s="33"/>
      <c r="U70" s="24"/>
      <c r="V70" s="24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3"/>
      <c r="AI70" s="19"/>
      <c r="AJ70" s="19"/>
      <c r="AK70" s="19"/>
      <c r="AL70" s="19"/>
      <c r="AM70" s="19"/>
      <c r="AN70" s="19"/>
      <c r="AO70" s="37"/>
      <c r="AP70" s="37"/>
      <c r="AQ70" s="37"/>
      <c r="AR70" s="37"/>
      <c r="AS70" s="37"/>
    </row>
    <row r="71" spans="1:45" ht="15.75">
      <c r="C71" s="118" t="s">
        <v>25</v>
      </c>
      <c r="D71" s="118"/>
      <c r="E71" s="118"/>
      <c r="F71" s="118"/>
      <c r="G71" s="118"/>
      <c r="H71" s="118"/>
      <c r="I71" s="118"/>
      <c r="J71" s="118"/>
      <c r="K71" s="118"/>
      <c r="L71" s="118"/>
      <c r="M71" s="118"/>
      <c r="N71" s="118"/>
      <c r="O71" s="118"/>
      <c r="P71" s="118"/>
      <c r="Q71" s="118"/>
      <c r="R71" s="33"/>
      <c r="S71" s="33"/>
      <c r="T71" s="33"/>
      <c r="U71" s="24"/>
      <c r="V71" s="24"/>
      <c r="W71" s="119" t="s">
        <v>26</v>
      </c>
      <c r="X71" s="119"/>
      <c r="Y71" s="119"/>
      <c r="Z71" s="119"/>
      <c r="AA71" s="119"/>
      <c r="AB71" s="119"/>
      <c r="AC71" s="119"/>
      <c r="AD71" s="119"/>
      <c r="AE71" s="119"/>
      <c r="AF71" s="119"/>
      <c r="AG71" s="119"/>
      <c r="AH71" s="7"/>
      <c r="AI71" s="7"/>
      <c r="AJ71" s="19"/>
      <c r="AK71" s="32"/>
      <c r="AL71" s="32"/>
      <c r="AM71" s="32"/>
      <c r="AN71" s="120" t="s">
        <v>27</v>
      </c>
      <c r="AO71" s="120"/>
      <c r="AP71" s="120"/>
      <c r="AQ71" s="120"/>
      <c r="AR71" s="120"/>
      <c r="AS71" s="120"/>
    </row>
    <row r="72" spans="1:45" ht="15.75">
      <c r="C72" s="115" t="s">
        <v>28</v>
      </c>
      <c r="D72" s="115"/>
      <c r="E72" s="115"/>
      <c r="F72" s="115"/>
      <c r="G72" s="115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115"/>
      <c r="S72" s="38"/>
      <c r="T72" s="33"/>
      <c r="U72" s="24"/>
      <c r="V72" s="24"/>
      <c r="W72" s="116" t="s">
        <v>29</v>
      </c>
      <c r="X72" s="116"/>
      <c r="Y72" s="116"/>
      <c r="Z72" s="116"/>
      <c r="AA72" s="116"/>
      <c r="AB72" s="116"/>
      <c r="AC72" s="116"/>
      <c r="AD72" s="116"/>
      <c r="AE72" s="116"/>
      <c r="AF72" s="116"/>
      <c r="AG72" s="116"/>
      <c r="AH72" s="24"/>
      <c r="AI72" s="24"/>
      <c r="AJ72" s="24"/>
      <c r="AK72" s="35"/>
      <c r="AL72" s="35"/>
      <c r="AM72" s="35"/>
      <c r="AN72" s="117" t="s">
        <v>30</v>
      </c>
      <c r="AO72" s="117"/>
      <c r="AP72" s="117"/>
      <c r="AQ72" s="117"/>
      <c r="AR72" s="117"/>
      <c r="AS72" s="117"/>
    </row>
    <row r="73" spans="1:45" ht="15.75">
      <c r="C73" s="35"/>
      <c r="D73" s="35"/>
      <c r="E73" s="35"/>
      <c r="F73" s="35"/>
      <c r="G73" s="35"/>
      <c r="H73" s="35"/>
      <c r="I73" s="35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9"/>
      <c r="AQ73" s="35"/>
      <c r="AR73" s="32"/>
      <c r="AS73" s="32"/>
    </row>
  </sheetData>
  <mergeCells count="64">
    <mergeCell ref="B1:B4"/>
    <mergeCell ref="B10:B11"/>
    <mergeCell ref="C10:C11"/>
    <mergeCell ref="AQ4:AR4"/>
    <mergeCell ref="K48:Q48"/>
    <mergeCell ref="S48:T48"/>
    <mergeCell ref="C6:AS6"/>
    <mergeCell ref="C7:AS7"/>
    <mergeCell ref="C1:AN4"/>
    <mergeCell ref="AO1:AS1"/>
    <mergeCell ref="AO2:AS2"/>
    <mergeCell ref="C5:AS5"/>
    <mergeCell ref="AO3:AS3"/>
    <mergeCell ref="F10:F11"/>
    <mergeCell ref="AL10:AL11"/>
    <mergeCell ref="F27:F28"/>
    <mergeCell ref="C72:R72"/>
    <mergeCell ref="W72:AG72"/>
    <mergeCell ref="AN72:AS72"/>
    <mergeCell ref="C71:Q71"/>
    <mergeCell ref="W71:AG71"/>
    <mergeCell ref="AN71:AS71"/>
    <mergeCell ref="J51:P51"/>
    <mergeCell ref="R51:S51"/>
    <mergeCell ref="AN27:AN28"/>
    <mergeCell ref="N10:N11"/>
    <mergeCell ref="V10:V11"/>
    <mergeCell ref="AD10:AD11"/>
    <mergeCell ref="AN10:AN11"/>
    <mergeCell ref="N27:N28"/>
    <mergeCell ref="V27:V28"/>
    <mergeCell ref="AD27:AD28"/>
    <mergeCell ref="AL27:AL28"/>
    <mergeCell ref="B9:AS9"/>
    <mergeCell ref="AO10:AS11"/>
    <mergeCell ref="B42:C42"/>
    <mergeCell ref="AO12:AS12"/>
    <mergeCell ref="AO13:AS13"/>
    <mergeCell ref="AO14:AS14"/>
    <mergeCell ref="AO15:AS15"/>
    <mergeCell ref="AO16:AS16"/>
    <mergeCell ref="AO17:AS17"/>
    <mergeCell ref="AO18:AS18"/>
    <mergeCell ref="AO19:AS19"/>
    <mergeCell ref="AO20:AS20"/>
    <mergeCell ref="AO21:AS21"/>
    <mergeCell ref="AO22:AS22"/>
    <mergeCell ref="AO23:AS23"/>
    <mergeCell ref="AO24:AS24"/>
    <mergeCell ref="AP41:AS41"/>
    <mergeCell ref="AP42:AS42"/>
    <mergeCell ref="AO27:AS28"/>
    <mergeCell ref="AP29:AS29"/>
    <mergeCell ref="AP30:AS30"/>
    <mergeCell ref="AP31:AS31"/>
    <mergeCell ref="AP32:AS32"/>
    <mergeCell ref="AP33:AS33"/>
    <mergeCell ref="AP34:AS34"/>
    <mergeCell ref="AP35:AS35"/>
    <mergeCell ref="AP36:AS36"/>
    <mergeCell ref="AP37:AS37"/>
    <mergeCell ref="AP38:AS38"/>
    <mergeCell ref="AP39:AS39"/>
    <mergeCell ref="AP40:AS40"/>
  </mergeCells>
  <conditionalFormatting sqref="E49:G52 E53:E57 F53:G58">
    <cfRule type="cellIs" priority="1" operator="equal">
      <formula>#REF!</formula>
    </cfRule>
  </conditionalFormatting>
  <pageMargins left="0.25" right="0.25" top="0.75" bottom="0.75" header="0.3" footer="0.3"/>
  <pageSetup paperSize="5" orientation="landscape"/>
  <ignoredErrors>
    <ignoredError sqref="AM30:AM41 AE29 AH29 R29 AM29 N29:N41 V29:V41 R30:R41 F29:F41" formula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CENTROS DE SALUD ZONA NORTE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Cartera Radicacion</dc:creator>
  <cp:lastModifiedBy>gev</cp:lastModifiedBy>
  <cp:lastPrinted>2026-06-01T22:06:20Z</cp:lastPrinted>
  <dcterms:created xsi:type="dcterms:W3CDTF">2025-09-02T15:15:00Z</dcterms:created>
  <dcterms:modified xsi:type="dcterms:W3CDTF">2026-07-30T17:15:36Z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0ED7849DEC154F0590AD23A1AACE8978_13</vt:lpwstr>
  </property>
  <property fmtid="{D5CDD505-2E9C-101B-9397-08002B2CF9AE}" pid="3" name="KSOProductBuildVer">
    <vt:lpwstr>3082-12.2.0.23196</vt:lpwstr>
  </property>
</Properties>
</file>