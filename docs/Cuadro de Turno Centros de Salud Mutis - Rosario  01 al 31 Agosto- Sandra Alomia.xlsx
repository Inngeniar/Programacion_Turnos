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2026\CUADRO DE TURNOS\ISABU\agosto\"/>
    </mc:Choice>
  </mc:AlternateContent>
  <xr:revisionPtr revIDLastSave="0" documentId="8_{CF99B3DE-FF38-4032-9535-AE7AB3BFC94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ENTRO DE SALUD - ROSARIO" sheetId="7" r:id="rId1"/>
    <sheet name="CENTRO DE SALUD - MUTIS" sheetId="8" r:id="rId2"/>
  </sheets>
  <definedNames>
    <definedName name="_xlnm.Print_Area" localSheetId="1">'CENTRO DE SALUD - MUTIS'!$A$1:$AL$45</definedName>
    <definedName name="_xlnm.Print_Area" localSheetId="0">'CENTRO DE SALUD - ROSARIO'!$A$1:$AL$45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" i="8" l="1"/>
  <c r="AH22" i="8"/>
  <c r="AG22" i="8"/>
  <c r="AF22" i="8"/>
  <c r="AE22" i="8"/>
  <c r="AD22" i="8"/>
  <c r="AC22" i="8"/>
  <c r="AJ22" i="8" s="1"/>
  <c r="AI21" i="8"/>
  <c r="AH21" i="8"/>
  <c r="AG21" i="8"/>
  <c r="AF21" i="8"/>
  <c r="AE21" i="8"/>
  <c r="AD21" i="8"/>
  <c r="AC21" i="8"/>
  <c r="AJ21" i="8" s="1"/>
  <c r="AI20" i="8"/>
  <c r="AH20" i="8"/>
  <c r="AG20" i="8"/>
  <c r="AF20" i="8"/>
  <c r="AE20" i="8"/>
  <c r="AD20" i="8"/>
  <c r="AC20" i="8"/>
  <c r="AJ20" i="8" s="1"/>
  <c r="AI19" i="8"/>
  <c r="AH19" i="8"/>
  <c r="AG19" i="8"/>
  <c r="AF19" i="8"/>
  <c r="AE19" i="8"/>
  <c r="AD19" i="8"/>
  <c r="AC19" i="8"/>
  <c r="AJ19" i="8" s="1"/>
  <c r="AA22" i="8"/>
  <c r="Z22" i="8"/>
  <c r="Y22" i="8"/>
  <c r="X22" i="8"/>
  <c r="W22" i="8"/>
  <c r="V22" i="8"/>
  <c r="U22" i="8"/>
  <c r="AB22" i="8" s="1"/>
  <c r="AA21" i="8"/>
  <c r="Z21" i="8"/>
  <c r="Y21" i="8"/>
  <c r="X21" i="8"/>
  <c r="W21" i="8"/>
  <c r="V21" i="8"/>
  <c r="U21" i="8"/>
  <c r="AB21" i="8" s="1"/>
  <c r="AA20" i="8"/>
  <c r="AQ23" i="8" s="1"/>
  <c r="Z20" i="8"/>
  <c r="Y20" i="8"/>
  <c r="X20" i="8"/>
  <c r="W20" i="8"/>
  <c r="V20" i="8"/>
  <c r="U20" i="8"/>
  <c r="AB20" i="8" s="1"/>
  <c r="AA19" i="8"/>
  <c r="Z19" i="8"/>
  <c r="Y19" i="8"/>
  <c r="X19" i="8"/>
  <c r="W19" i="8"/>
  <c r="V19" i="8"/>
  <c r="U19" i="8"/>
  <c r="AB19" i="8" s="1"/>
  <c r="S22" i="8"/>
  <c r="R22" i="8"/>
  <c r="Q22" i="8"/>
  <c r="P22" i="8"/>
  <c r="O22" i="8"/>
  <c r="N22" i="8"/>
  <c r="M22" i="8"/>
  <c r="T22" i="8" s="1"/>
  <c r="S21" i="8"/>
  <c r="R21" i="8"/>
  <c r="Q21" i="8"/>
  <c r="P21" i="8"/>
  <c r="O21" i="8"/>
  <c r="N21" i="8"/>
  <c r="M21" i="8"/>
  <c r="T21" i="8" s="1"/>
  <c r="S20" i="8"/>
  <c r="R20" i="8"/>
  <c r="Q20" i="8"/>
  <c r="P20" i="8"/>
  <c r="O20" i="8"/>
  <c r="N20" i="8"/>
  <c r="M20" i="8"/>
  <c r="T20" i="8" s="1"/>
  <c r="S19" i="8"/>
  <c r="R19" i="8"/>
  <c r="Q19" i="8"/>
  <c r="P19" i="8"/>
  <c r="O19" i="8"/>
  <c r="N19" i="8"/>
  <c r="M19" i="8"/>
  <c r="T19" i="8" s="1"/>
  <c r="AK22" i="8"/>
  <c r="AK21" i="8"/>
  <c r="AK20" i="8"/>
  <c r="AK19" i="8"/>
  <c r="G22" i="8"/>
  <c r="G21" i="8"/>
  <c r="G20" i="8"/>
  <c r="G19" i="8"/>
  <c r="AL22" i="8"/>
  <c r="AL21" i="8"/>
  <c r="AL20" i="8"/>
  <c r="AL19" i="8"/>
  <c r="AL23" i="8" s="1"/>
  <c r="W19" i="7"/>
  <c r="O19" i="7"/>
  <c r="H20" i="7"/>
  <c r="S22" i="7"/>
  <c r="R22" i="7"/>
  <c r="Q22" i="7"/>
  <c r="P22" i="7"/>
  <c r="O22" i="7"/>
  <c r="N22" i="7"/>
  <c r="M22" i="7"/>
  <c r="S21" i="7"/>
  <c r="R21" i="7"/>
  <c r="Q21" i="7"/>
  <c r="P21" i="7"/>
  <c r="O21" i="7"/>
  <c r="N21" i="7"/>
  <c r="AI22" i="7"/>
  <c r="AH22" i="7"/>
  <c r="AG22" i="7"/>
  <c r="AF22" i="7"/>
  <c r="AE22" i="7"/>
  <c r="AI21" i="7"/>
  <c r="AH21" i="7"/>
  <c r="AG21" i="7"/>
  <c r="AF21" i="7"/>
  <c r="AE21" i="7"/>
  <c r="Y22" i="7"/>
  <c r="V22" i="7"/>
  <c r="W21" i="7"/>
  <c r="I22" i="7"/>
  <c r="I21" i="7"/>
  <c r="P20" i="7"/>
  <c r="AL20" i="7"/>
  <c r="AK20" i="7"/>
  <c r="AM20" i="7" s="1"/>
  <c r="AI20" i="7"/>
  <c r="AH20" i="7"/>
  <c r="AG20" i="7"/>
  <c r="AF20" i="7"/>
  <c r="AE20" i="7"/>
  <c r="AD20" i="7"/>
  <c r="AC20" i="7"/>
  <c r="AJ20" i="7" s="1"/>
  <c r="AA20" i="7"/>
  <c r="Z20" i="7"/>
  <c r="Y20" i="7"/>
  <c r="X20" i="7"/>
  <c r="W20" i="7"/>
  <c r="V20" i="7"/>
  <c r="U20" i="7"/>
  <c r="AB20" i="7" s="1"/>
  <c r="S20" i="7"/>
  <c r="R20" i="7"/>
  <c r="Q20" i="7"/>
  <c r="O20" i="7"/>
  <c r="N20" i="7"/>
  <c r="M20" i="7"/>
  <c r="T20" i="7" s="1"/>
  <c r="K20" i="7"/>
  <c r="J20" i="7"/>
  <c r="I20" i="7"/>
  <c r="G20" i="7"/>
  <c r="F20" i="7"/>
  <c r="E20" i="7"/>
  <c r="C20" i="7"/>
  <c r="B20" i="7"/>
  <c r="D20" i="7" s="1"/>
  <c r="Q19" i="7"/>
  <c r="AI19" i="7"/>
  <c r="AI23" i="7" s="1"/>
  <c r="AH19" i="7"/>
  <c r="AH23" i="7" s="1"/>
  <c r="AG19" i="7"/>
  <c r="AG23" i="7" s="1"/>
  <c r="AF19" i="7"/>
  <c r="AF23" i="7" s="1"/>
  <c r="AE19" i="7"/>
  <c r="AE23" i="7" s="1"/>
  <c r="AD19" i="7"/>
  <c r="AA22" i="7"/>
  <c r="Z22" i="7"/>
  <c r="X22" i="7"/>
  <c r="W22" i="7"/>
  <c r="U22" i="7"/>
  <c r="AA21" i="7"/>
  <c r="Z21" i="7"/>
  <c r="Y21" i="7"/>
  <c r="X21" i="7"/>
  <c r="V21" i="7"/>
  <c r="U21" i="7"/>
  <c r="AA19" i="7"/>
  <c r="AA23" i="7" s="1"/>
  <c r="Z19" i="7"/>
  <c r="Z23" i="7" s="1"/>
  <c r="U19" i="7"/>
  <c r="U23" i="7" s="1"/>
  <c r="Y19" i="7"/>
  <c r="X19" i="7"/>
  <c r="W23" i="7"/>
  <c r="V19" i="7"/>
  <c r="S19" i="7"/>
  <c r="S23" i="7" s="1"/>
  <c r="R19" i="7"/>
  <c r="R23" i="7" s="1"/>
  <c r="P19" i="7"/>
  <c r="N19" i="7"/>
  <c r="K22" i="7"/>
  <c r="J22" i="7"/>
  <c r="H22" i="7"/>
  <c r="G22" i="7"/>
  <c r="F22" i="7"/>
  <c r="E22" i="7"/>
  <c r="K21" i="7"/>
  <c r="J21" i="7"/>
  <c r="H21" i="7"/>
  <c r="G21" i="7"/>
  <c r="F21" i="7"/>
  <c r="E21" i="7"/>
  <c r="G19" i="7"/>
  <c r="J19" i="7"/>
  <c r="AB22" i="7"/>
  <c r="AL19" i="7"/>
  <c r="AL22" i="7"/>
  <c r="AL21" i="7"/>
  <c r="F19" i="7"/>
  <c r="K22" i="8"/>
  <c r="J22" i="8"/>
  <c r="I22" i="8"/>
  <c r="H22" i="8"/>
  <c r="K21" i="8"/>
  <c r="J21" i="8"/>
  <c r="I21" i="8"/>
  <c r="H21" i="8"/>
  <c r="K20" i="8"/>
  <c r="J20" i="8"/>
  <c r="I20" i="8"/>
  <c r="H20" i="8"/>
  <c r="K19" i="8"/>
  <c r="J19" i="8"/>
  <c r="I19" i="8"/>
  <c r="H19" i="8"/>
  <c r="F22" i="8"/>
  <c r="E22" i="8"/>
  <c r="L22" i="8" s="1"/>
  <c r="C22" i="8"/>
  <c r="B22" i="8"/>
  <c r="D22" i="8" s="1"/>
  <c r="F21" i="8"/>
  <c r="E21" i="8"/>
  <c r="L21" i="8" s="1"/>
  <c r="C21" i="8"/>
  <c r="B21" i="8"/>
  <c r="D21" i="8" s="1"/>
  <c r="F20" i="8"/>
  <c r="E20" i="8"/>
  <c r="L20" i="8" s="1"/>
  <c r="C20" i="8"/>
  <c r="B20" i="8"/>
  <c r="D20" i="8" s="1"/>
  <c r="F19" i="8"/>
  <c r="E19" i="8"/>
  <c r="L19" i="8" s="1"/>
  <c r="C19" i="8"/>
  <c r="B19" i="8"/>
  <c r="D19" i="8" s="1"/>
  <c r="A19" i="8"/>
  <c r="A22" i="8"/>
  <c r="A21" i="8"/>
  <c r="A20" i="8"/>
  <c r="A17" i="8"/>
  <c r="AK22" i="7"/>
  <c r="AM22" i="7" s="1"/>
  <c r="AK21" i="7"/>
  <c r="AM21" i="7" s="1"/>
  <c r="AK19" i="7"/>
  <c r="AM19" i="7" s="1"/>
  <c r="AM23" i="7" s="1"/>
  <c r="AD22" i="7"/>
  <c r="AC22" i="7"/>
  <c r="AD21" i="7"/>
  <c r="AC21" i="7"/>
  <c r="AC19" i="7"/>
  <c r="AC23" i="7" s="1"/>
  <c r="K19" i="7"/>
  <c r="M21" i="7"/>
  <c r="M19" i="7"/>
  <c r="I19" i="7"/>
  <c r="C22" i="7"/>
  <c r="B22" i="7"/>
  <c r="D22" i="7" s="1"/>
  <c r="C21" i="7"/>
  <c r="B21" i="7"/>
  <c r="D21" i="7" s="1"/>
  <c r="E19" i="7"/>
  <c r="B19" i="7"/>
  <c r="A20" i="7"/>
  <c r="A21" i="7"/>
  <c r="A22" i="7"/>
  <c r="A19" i="7"/>
  <c r="H19" i="7"/>
  <c r="C19" i="7"/>
  <c r="AD23" i="7" l="1"/>
  <c r="L19" i="7"/>
  <c r="D19" i="7"/>
  <c r="Y23" i="7"/>
  <c r="N23" i="7"/>
  <c r="G23" i="7"/>
  <c r="AM22" i="8"/>
  <c r="AO22" i="8" s="1"/>
  <c r="AM21" i="8"/>
  <c r="AO21" i="8" s="1"/>
  <c r="AM20" i="8"/>
  <c r="AO20" i="8" s="1"/>
  <c r="AM19" i="8"/>
  <c r="AO19" i="8" s="1"/>
  <c r="O23" i="7"/>
  <c r="AB21" i="7"/>
  <c r="X23" i="7"/>
  <c r="V23" i="7"/>
  <c r="Q23" i="7"/>
  <c r="L20" i="7"/>
  <c r="AO20" i="7" s="1"/>
  <c r="L21" i="7"/>
  <c r="P23" i="7"/>
  <c r="L22" i="7"/>
  <c r="AJ21" i="7"/>
  <c r="AJ22" i="7"/>
  <c r="T21" i="7"/>
  <c r="T22" i="7"/>
  <c r="T19" i="7"/>
  <c r="K23" i="8"/>
  <c r="J23" i="8"/>
  <c r="I23" i="8"/>
  <c r="D23" i="8"/>
  <c r="C23" i="8"/>
  <c r="B23" i="8"/>
  <c r="AJ23" i="8"/>
  <c r="AI23" i="8"/>
  <c r="AH23" i="8"/>
  <c r="AG23" i="8"/>
  <c r="AF23" i="8"/>
  <c r="AD23" i="8"/>
  <c r="AB23" i="8"/>
  <c r="AA23" i="8"/>
  <c r="X23" i="8"/>
  <c r="U23" i="8"/>
  <c r="T23" i="8"/>
  <c r="R23" i="8"/>
  <c r="P23" i="8"/>
  <c r="AK23" i="8"/>
  <c r="AC23" i="8"/>
  <c r="Z23" i="8"/>
  <c r="Y23" i="8"/>
  <c r="V23" i="8"/>
  <c r="S23" i="8"/>
  <c r="Q23" i="8"/>
  <c r="F23" i="8"/>
  <c r="E23" i="8"/>
  <c r="N23" i="8"/>
  <c r="M23" i="8"/>
  <c r="L23" i="8"/>
  <c r="H23" i="8"/>
  <c r="M23" i="7"/>
  <c r="K23" i="7"/>
  <c r="J23" i="7"/>
  <c r="I23" i="7"/>
  <c r="H23" i="7"/>
  <c r="F23" i="7"/>
  <c r="E23" i="7"/>
  <c r="C23" i="7"/>
  <c r="B23" i="7"/>
  <c r="A17" i="7"/>
  <c r="AO22" i="7" l="1"/>
  <c r="AO23" i="8"/>
  <c r="AO21" i="7"/>
  <c r="AB19" i="7"/>
  <c r="AJ19" i="7" l="1"/>
  <c r="AO19" i="7" s="1"/>
  <c r="AO23" i="7" s="1"/>
  <c r="AP23" i="7" l="1"/>
</calcChain>
</file>

<file path=xl/sharedStrings.xml><?xml version="1.0" encoding="utf-8"?>
<sst xmlns="http://schemas.openxmlformats.org/spreadsheetml/2006/main" count="496" uniqueCount="58">
  <si>
    <t>GTH-FT-038</t>
  </si>
  <si>
    <t>Fecha:  25-06-2018</t>
  </si>
  <si>
    <t>Versión:  02</t>
  </si>
  <si>
    <t>Página 1 de 1</t>
  </si>
  <si>
    <t>INSTITUTO DE SALUD BUCARAMANGA - ISABU</t>
  </si>
  <si>
    <t>PERIODO:</t>
  </si>
  <si>
    <t>DIA</t>
  </si>
  <si>
    <t>CAP</t>
  </si>
  <si>
    <t>FIRMA</t>
  </si>
  <si>
    <t>D</t>
  </si>
  <si>
    <t>L</t>
  </si>
  <si>
    <t>M</t>
  </si>
  <si>
    <t>J</t>
  </si>
  <si>
    <t>V</t>
  </si>
  <si>
    <t>S</t>
  </si>
  <si>
    <t>TOTAL HORAS</t>
  </si>
  <si>
    <t>Dia</t>
  </si>
  <si>
    <t>Libre</t>
  </si>
  <si>
    <t>APROBÓ : GUSTAVO ADOLFO TABORDA</t>
  </si>
  <si>
    <t>TOTAL HORAS DIA</t>
  </si>
  <si>
    <t>Tarde</t>
  </si>
  <si>
    <t>J2</t>
  </si>
  <si>
    <t>J1</t>
  </si>
  <si>
    <t>T</t>
  </si>
  <si>
    <t>LUZ ALEIDA DIAZ</t>
  </si>
  <si>
    <t>TN</t>
  </si>
  <si>
    <t>FDS</t>
  </si>
  <si>
    <t>CENTROS DE SALUD ROSARIO</t>
  </si>
  <si>
    <t>H</t>
  </si>
  <si>
    <t>ELABORÓ : MILETNA ALOMIA AYALA</t>
  </si>
  <si>
    <t>REVISÓ: YERLIT LILIATNA LOPEZ MURILLO</t>
  </si>
  <si>
    <t>Tec. CoTN fuTNcioTNes de CoordiTNador de FacturacióTN</t>
  </si>
  <si>
    <t xml:space="preserve">Directora de FacturacioTN </t>
  </si>
  <si>
    <t>DireccióTN de OperacioTNes y Estrategias de ITNTNovacióTN</t>
  </si>
  <si>
    <t>AMPARO JAIMES RUEDA</t>
  </si>
  <si>
    <t>KAROLAY DIAZ</t>
  </si>
  <si>
    <t>LUCY CRUZ</t>
  </si>
  <si>
    <t>MILDREY RANGEL</t>
  </si>
  <si>
    <t xml:space="preserve">UNIDAD FUNCIONAL: </t>
  </si>
  <si>
    <t xml:space="preserve">SERVICIO: </t>
  </si>
  <si>
    <t>CENTRO DE SALUD MUTIS</t>
  </si>
  <si>
    <t>Mañana</t>
  </si>
  <si>
    <t>Tarde noche</t>
  </si>
  <si>
    <t>Capacitacion</t>
  </si>
  <si>
    <t>NO SE PERMITE CAMBIO DE TURNO SIN PREVIA AUTORIZACION DEL COORDINADOR</t>
  </si>
  <si>
    <t xml:space="preserve">INICIO </t>
  </si>
  <si>
    <t>TURNOS</t>
  </si>
  <si>
    <t xml:space="preserve">FIN </t>
  </si>
  <si>
    <t>INICIO</t>
  </si>
  <si>
    <t>FIN</t>
  </si>
  <si>
    <t xml:space="preserve">CONVENCIONES </t>
  </si>
  <si>
    <t>NOMBRE</t>
  </si>
  <si>
    <t>LAURY CAMILA ESPINOSA</t>
  </si>
  <si>
    <t>MARLENE PORTILLA</t>
  </si>
  <si>
    <t>MAYRA ALEJANDRA VARGAS</t>
  </si>
  <si>
    <t>TOTAL</t>
  </si>
  <si>
    <t>1 DE AGOSTO  AL 31 AGOSTO 2026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</si>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</sst>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"/>
    <numFmt numFmtId="166" formatCode="0.0;[Red]0.0"/>
  </numFmts>
  <fonts count="19">
    <font>
      <sz val="11"/>
      <color theme="1"/>
      <name val="Arial"/>
      <charset val="134"/>
    </font>
    <font>
      <b/>
      <sz val="12"/>
      <color theme="1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</font>
    <font>
      <u/>
      <sz val="11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2"/>
      <color theme="1"/>
      <name val="Arial"/>
      <family val="2"/>
    </font>
    <font>
      <b/>
      <sz val="11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EAEAE"/>
        <bgColor rgb="FFAEAEAE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theme="0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164" fontId="3" fillId="0" borderId="0" xfId="3" applyNumberFormat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0" applyFont="1"/>
    <xf numFmtId="164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0" fontId="12" fillId="0" borderId="0" xfId="0" applyFont="1"/>
    <xf numFmtId="20" fontId="11" fillId="0" borderId="20" xfId="0" applyNumberFormat="1" applyFont="1" applyBorder="1" applyAlignment="1">
      <alignment horizontal="center" vertical="center"/>
    </xf>
    <xf numFmtId="0" fontId="3" fillId="0" borderId="0" xfId="5" applyFont="1" applyAlignment="1">
      <alignment vertical="center" wrapText="1"/>
    </xf>
    <xf numFmtId="0" fontId="7" fillId="0" borderId="0" xfId="3" applyFont="1" applyAlignment="1">
      <alignment horizontal="center" vertical="center"/>
    </xf>
    <xf numFmtId="0" fontId="3" fillId="0" borderId="0" xfId="3" applyFont="1"/>
    <xf numFmtId="0" fontId="1" fillId="0" borderId="0" xfId="3" applyFont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0" fontId="1" fillId="0" borderId="5" xfId="2" applyFont="1" applyBorder="1" applyAlignment="1">
      <alignment horizontal="left" vertical="center" wrapText="1"/>
    </xf>
    <xf numFmtId="164" fontId="1" fillId="4" borderId="5" xfId="3" applyNumberFormat="1" applyFont="1" applyFill="1" applyBorder="1" applyAlignment="1">
      <alignment horizontal="center" vertical="center"/>
    </xf>
    <xf numFmtId="164" fontId="1" fillId="0" borderId="5" xfId="3" applyNumberFormat="1" applyFont="1" applyBorder="1" applyAlignment="1">
      <alignment horizontal="center" vertical="center"/>
    </xf>
    <xf numFmtId="0" fontId="1" fillId="0" borderId="0" xfId="2" applyFont="1" applyAlignment="1">
      <alignment horizontal="left" vertical="center" wrapText="1"/>
    </xf>
    <xf numFmtId="0" fontId="1" fillId="3" borderId="0" xfId="3" applyFont="1" applyFill="1" applyAlignment="1">
      <alignment horizontal="center" vertical="center"/>
    </xf>
    <xf numFmtId="0" fontId="14" fillId="0" borderId="0" xfId="3" applyFont="1" applyAlignment="1">
      <alignment vertical="center"/>
    </xf>
    <xf numFmtId="0" fontId="6" fillId="0" borderId="0" xfId="3" applyFont="1" applyAlignment="1">
      <alignment horizontal="center" vertical="center" wrapText="1"/>
    </xf>
    <xf numFmtId="20" fontId="11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166" fontId="3" fillId="0" borderId="0" xfId="3" applyNumberFormat="1" applyFont="1" applyAlignment="1">
      <alignment horizontal="center" vertical="center"/>
    </xf>
    <xf numFmtId="164" fontId="3" fillId="3" borderId="0" xfId="3" applyNumberFormat="1" applyFont="1" applyFill="1" applyAlignment="1">
      <alignment horizontal="center" vertical="center"/>
    </xf>
    <xf numFmtId="1" fontId="6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/>
    </xf>
    <xf numFmtId="0" fontId="1" fillId="0" borderId="0" xfId="3" applyFont="1" applyAlignment="1">
      <alignment horizontal="center"/>
    </xf>
    <xf numFmtId="0" fontId="3" fillId="0" borderId="0" xfId="4" applyFont="1" applyAlignment="1">
      <alignment vertical="center" wrapText="1"/>
    </xf>
    <xf numFmtId="164" fontId="6" fillId="0" borderId="0" xfId="3" applyNumberFormat="1" applyFont="1" applyAlignment="1">
      <alignment vertical="center"/>
    </xf>
    <xf numFmtId="0" fontId="6" fillId="4" borderId="0" xfId="3" applyFont="1" applyFill="1" applyAlignment="1">
      <alignment vertical="center"/>
    </xf>
    <xf numFmtId="0" fontId="7" fillId="4" borderId="0" xfId="3" applyFont="1" applyFill="1"/>
    <xf numFmtId="0" fontId="5" fillId="0" borderId="5" xfId="3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20" fontId="4" fillId="0" borderId="15" xfId="0" applyNumberFormat="1" applyFont="1" applyBorder="1" applyAlignment="1">
      <alignment horizontal="center" vertical="center"/>
    </xf>
    <xf numFmtId="0" fontId="17" fillId="0" borderId="23" xfId="0" applyFont="1" applyBorder="1"/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5" fillId="9" borderId="5" xfId="3" applyFont="1" applyFill="1" applyBorder="1" applyAlignment="1">
      <alignment horizontal="center" vertical="center" wrapText="1"/>
    </xf>
    <xf numFmtId="0" fontId="5" fillId="9" borderId="5" xfId="3" applyFont="1" applyFill="1" applyBorder="1" applyAlignment="1">
      <alignment horizontal="center" vertical="center"/>
    </xf>
    <xf numFmtId="0" fontId="5" fillId="10" borderId="5" xfId="3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0" borderId="7" xfId="0" applyFont="1" applyBorder="1"/>
    <xf numFmtId="0" fontId="1" fillId="3" borderId="7" xfId="0" applyFont="1" applyFill="1" applyBorder="1" applyAlignment="1">
      <alignment horizontal="left" vertical="center" wrapText="1"/>
    </xf>
    <xf numFmtId="164" fontId="1" fillId="6" borderId="5" xfId="3" applyNumberFormat="1" applyFont="1" applyFill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13" fillId="0" borderId="0" xfId="3" applyFont="1"/>
    <xf numFmtId="0" fontId="1" fillId="0" borderId="36" xfId="3" applyFont="1" applyBorder="1" applyAlignment="1">
      <alignment horizontal="center" vertical="center"/>
    </xf>
    <xf numFmtId="0" fontId="1" fillId="0" borderId="20" xfId="3" applyFont="1" applyBorder="1" applyAlignment="1">
      <alignment horizontal="center" vertical="center"/>
    </xf>
    <xf numFmtId="0" fontId="1" fillId="0" borderId="28" xfId="3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7" fillId="0" borderId="16" xfId="0" applyFont="1" applyBorder="1"/>
    <xf numFmtId="0" fontId="1" fillId="3" borderId="0" xfId="3" applyFont="1" applyFill="1" applyAlignment="1">
      <alignment horizontal="center" vertical="top"/>
    </xf>
    <xf numFmtId="166" fontId="1" fillId="4" borderId="5" xfId="3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164" fontId="8" fillId="3" borderId="17" xfId="0" applyNumberFormat="1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vertical="center" wrapText="1"/>
    </xf>
    <xf numFmtId="0" fontId="5" fillId="0" borderId="56" xfId="3" applyFont="1" applyBorder="1" applyAlignment="1">
      <alignment vertical="center"/>
    </xf>
    <xf numFmtId="0" fontId="5" fillId="0" borderId="6" xfId="3" applyFont="1" applyBorder="1" applyAlignment="1">
      <alignment vertical="center"/>
    </xf>
    <xf numFmtId="0" fontId="7" fillId="0" borderId="26" xfId="3" applyFont="1" applyBorder="1"/>
    <xf numFmtId="0" fontId="9" fillId="11" borderId="26" xfId="0" applyFont="1" applyFill="1" applyBorder="1" applyAlignment="1">
      <alignment vertical="center" wrapText="1"/>
    </xf>
    <xf numFmtId="0" fontId="9" fillId="11" borderId="20" xfId="0" applyFont="1" applyFill="1" applyBorder="1" applyAlignment="1">
      <alignment vertical="center" wrapText="1"/>
    </xf>
    <xf numFmtId="0" fontId="15" fillId="0" borderId="5" xfId="0" applyFont="1" applyBorder="1"/>
    <xf numFmtId="0" fontId="5" fillId="0" borderId="55" xfId="3" applyFont="1" applyBorder="1" applyAlignment="1">
      <alignment vertical="center"/>
    </xf>
    <xf numFmtId="164" fontId="7" fillId="0" borderId="5" xfId="3" applyNumberFormat="1" applyFont="1" applyBorder="1" applyAlignment="1">
      <alignment horizontal="center" vertical="center"/>
    </xf>
    <xf numFmtId="164" fontId="7" fillId="0" borderId="0" xfId="3" applyNumberFormat="1" applyFont="1"/>
    <xf numFmtId="0" fontId="1" fillId="8" borderId="5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54" xfId="0" applyFont="1" applyFill="1" applyBorder="1" applyAlignment="1">
      <alignment horizontal="center" vertical="center"/>
    </xf>
    <xf numFmtId="166" fontId="7" fillId="0" borderId="5" xfId="3" applyNumberFormat="1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20" fontId="4" fillId="0" borderId="15" xfId="0" applyNumberFormat="1" applyFont="1" applyBorder="1" applyAlignment="1">
      <alignment horizontal="center" vertical="center"/>
    </xf>
    <xf numFmtId="20" fontId="4" fillId="0" borderId="23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16" xfId="0" applyFont="1" applyBorder="1"/>
    <xf numFmtId="0" fontId="6" fillId="7" borderId="42" xfId="0" applyFont="1" applyFill="1" applyBorder="1" applyAlignment="1">
      <alignment horizontal="center" vertical="center" wrapText="1"/>
    </xf>
    <xf numFmtId="0" fontId="16" fillId="0" borderId="33" xfId="0" applyFont="1" applyBorder="1"/>
    <xf numFmtId="0" fontId="16" fillId="0" borderId="32" xfId="0" applyFont="1" applyBorder="1"/>
    <xf numFmtId="0" fontId="16" fillId="0" borderId="34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6" fillId="0" borderId="11" xfId="0" applyFont="1" applyBorder="1"/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0" xfId="4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/>
    </xf>
    <xf numFmtId="0" fontId="3" fillId="0" borderId="3" xfId="3" applyFont="1" applyBorder="1"/>
    <xf numFmtId="0" fontId="3" fillId="0" borderId="4" xfId="3" applyFont="1" applyBorder="1"/>
    <xf numFmtId="0" fontId="18" fillId="3" borderId="5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10" fillId="0" borderId="5" xfId="0" applyFont="1" applyBorder="1"/>
    <xf numFmtId="0" fontId="2" fillId="0" borderId="2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13" fillId="0" borderId="35" xfId="3" applyFont="1" applyBorder="1"/>
    <xf numFmtId="0" fontId="13" fillId="0" borderId="0" xfId="3" applyFont="1"/>
    <xf numFmtId="49" fontId="1" fillId="0" borderId="35" xfId="3" applyNumberFormat="1" applyFont="1" applyBorder="1" applyAlignment="1">
      <alignment horizontal="left"/>
    </xf>
    <xf numFmtId="49" fontId="1" fillId="0" borderId="0" xfId="3" applyNumberFormat="1" applyFont="1" applyAlignment="1">
      <alignment horizontal="left"/>
    </xf>
    <xf numFmtId="0" fontId="13" fillId="0" borderId="24" xfId="3" applyFont="1" applyBorder="1"/>
    <xf numFmtId="0" fontId="13" fillId="0" borderId="26" xfId="3" applyFont="1" applyBorder="1"/>
    <xf numFmtId="20" fontId="4" fillId="0" borderId="13" xfId="0" applyNumberFormat="1" applyFont="1" applyBorder="1" applyAlignment="1">
      <alignment horizontal="center" vertical="center"/>
    </xf>
    <xf numFmtId="20" fontId="4" fillId="0" borderId="22" xfId="0" applyNumberFormat="1" applyFont="1" applyBorder="1" applyAlignment="1">
      <alignment horizontal="center" vertical="center"/>
    </xf>
    <xf numFmtId="20" fontId="4" fillId="0" borderId="31" xfId="0" applyNumberFormat="1" applyFont="1" applyBorder="1" applyAlignment="1">
      <alignment horizontal="center" vertical="center"/>
    </xf>
    <xf numFmtId="20" fontId="4" fillId="0" borderId="37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 wrapText="1"/>
    </xf>
    <xf numFmtId="165" fontId="4" fillId="0" borderId="22" xfId="0" applyNumberFormat="1" applyFont="1" applyBorder="1" applyAlignment="1">
      <alignment horizontal="center" vertical="center" wrapText="1"/>
    </xf>
    <xf numFmtId="20" fontId="4" fillId="0" borderId="12" xfId="0" applyNumberFormat="1" applyFont="1" applyBorder="1" applyAlignment="1">
      <alignment horizontal="center" vertical="center"/>
    </xf>
    <xf numFmtId="0" fontId="1" fillId="3" borderId="5" xfId="3" applyFont="1" applyFill="1" applyBorder="1" applyAlignment="1">
      <alignment horizontal="center" vertical="center" wrapText="1"/>
    </xf>
    <xf numFmtId="0" fontId="7" fillId="3" borderId="21" xfId="3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5" fillId="0" borderId="17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1" fillId="5" borderId="35" xfId="3" applyFont="1" applyFill="1" applyBorder="1" applyAlignment="1">
      <alignment horizontal="center" vertical="center"/>
    </xf>
    <xf numFmtId="0" fontId="1" fillId="5" borderId="0" xfId="3" applyFont="1" applyFill="1" applyAlignment="1">
      <alignment horizontal="center" vertical="center"/>
    </xf>
    <xf numFmtId="0" fontId="7" fillId="0" borderId="5" xfId="3" applyFont="1" applyBorder="1" applyAlignment="1">
      <alignment horizontal="center"/>
    </xf>
    <xf numFmtId="0" fontId="9" fillId="11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5" fillId="0" borderId="55" xfId="3" applyFont="1" applyBorder="1" applyAlignment="1">
      <alignment horizontal="center" vertical="center" wrapText="1"/>
    </xf>
    <xf numFmtId="0" fontId="5" fillId="0" borderId="56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55" xfId="3" applyFont="1" applyBorder="1" applyAlignment="1">
      <alignment horizontal="center" vertical="center"/>
    </xf>
    <xf numFmtId="0" fontId="5" fillId="0" borderId="56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21" xfId="3" applyFon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9" fillId="11" borderId="36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9" fillId="11" borderId="2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 wrapText="1"/>
    </xf>
    <xf numFmtId="49" fontId="1" fillId="0" borderId="25" xfId="3" applyNumberFormat="1" applyFont="1" applyBorder="1" applyAlignment="1">
      <alignment horizontal="left"/>
    </xf>
    <xf numFmtId="49" fontId="1" fillId="0" borderId="20" xfId="3" applyNumberFormat="1" applyFont="1" applyBorder="1" applyAlignment="1">
      <alignment horizontal="left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2" fillId="0" borderId="51" xfId="3" applyFont="1" applyBorder="1" applyAlignment="1">
      <alignment horizontal="center" vertical="center"/>
    </xf>
    <xf numFmtId="0" fontId="2" fillId="0" borderId="53" xfId="3" applyFont="1" applyBorder="1" applyAlignment="1">
      <alignment horizontal="center" vertical="center"/>
    </xf>
    <xf numFmtId="0" fontId="2" fillId="0" borderId="52" xfId="3" applyFont="1" applyBorder="1" applyAlignment="1">
      <alignment horizontal="center" vertical="center"/>
    </xf>
    <xf numFmtId="0" fontId="2" fillId="0" borderId="36" xfId="3" applyFont="1" applyBorder="1" applyAlignment="1">
      <alignment horizontal="center" vertical="center"/>
    </xf>
    <xf numFmtId="0" fontId="2" fillId="0" borderId="48" xfId="3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0" fontId="2" fillId="0" borderId="28" xfId="3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9" fillId="11" borderId="26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  <cellStyle name="Normal 3 10" xfId="4" xr:uid="{00000000-0005-0000-0000-000034000000}"/>
    <cellStyle name="Normal 3 10 2" xfId="5" xr:uid="{00000000-0005-0000-0000-000035000000}"/>
    <cellStyle name="Normal 34" xfId="6" xr:uid="{00000000-0005-0000-0000-000036000000}"/>
    <cellStyle name="Normal 34 2" xfId="7" xr:uid="{00000000-0005-0000-0000-000037000000}"/>
  </cellStyles>
  <dxfs count="4"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colors>
    <mruColors>
      <color rgb="FF903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99786</xdr:colOff>
      <xdr:row>40</xdr:row>
      <xdr:rowOff>1</xdr:rowOff>
    </xdr:from>
    <xdr:to>
      <xdr:col>9</xdr:col>
      <xdr:colOff>25764</xdr:colOff>
      <xdr:row>45</xdr:row>
      <xdr:rowOff>140608</xdr:rowOff>
    </xdr:to>
    <xdr:pic>
      <xdr:nvPicPr>
        <xdr:cNvPr id="4" name="Imagen 3" descr="f13891a8-f551-4d2c-852e-d220622c51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522345" y="9142730"/>
          <a:ext cx="1668145" cy="1378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C1262409-ABD4-4AFE-A729-77FD27CA01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66675"/>
          <a:ext cx="1272117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99786</xdr:colOff>
      <xdr:row>40</xdr:row>
      <xdr:rowOff>1</xdr:rowOff>
    </xdr:from>
    <xdr:to>
      <xdr:col>9</xdr:col>
      <xdr:colOff>148227</xdr:colOff>
      <xdr:row>45</xdr:row>
      <xdr:rowOff>140608</xdr:rowOff>
    </xdr:to>
    <xdr:pic>
      <xdr:nvPicPr>
        <xdr:cNvPr id="3" name="Imagen 2" descr="f13891a8-f551-4d2c-852e-d220622c5110">
          <a:extLst>
            <a:ext uri="{FF2B5EF4-FFF2-40B4-BE49-F238E27FC236}">
              <a16:creationId xmlns:a16="http://schemas.microsoft.com/office/drawing/2014/main" id="{3A933387-F6C5-42D1-AA9A-2CD50ED6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414486" y="9096376"/>
          <a:ext cx="1685381" cy="1378857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209550</xdr:colOff>
      <xdr:row>0</xdr:row>
      <xdr:rowOff>66675</xdr:rowOff>
    </xdr:from>
    <xdr:ext cx="1272117" cy="714375"/>
    <xdr:pic>
      <xdr:nvPicPr>
        <xdr:cNvPr id="4" name="image2.png" descr="Logo MSM Formatos">
          <a:extLst>
            <a:ext uri="{FF2B5EF4-FFF2-40B4-BE49-F238E27FC236}">
              <a16:creationId xmlns:a16="http://schemas.microsoft.com/office/drawing/2014/main" id="{19A8E7DF-CA60-4ACF-B3BC-BBF436D01B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66675"/>
          <a:ext cx="1272117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0</xdr:row>
      <xdr:rowOff>66675</xdr:rowOff>
    </xdr:from>
    <xdr:ext cx="1272117" cy="714375"/>
    <xdr:pic>
      <xdr:nvPicPr>
        <xdr:cNvPr id="5" name="image2.png" descr="Logo MSM Formatos">
          <a:extLst>
            <a:ext uri="{FF2B5EF4-FFF2-40B4-BE49-F238E27FC236}">
              <a16:creationId xmlns:a16="http://schemas.microsoft.com/office/drawing/2014/main" id="{C0354A0A-FAF1-46AB-BE2C-46EBB61E81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66675"/>
          <a:ext cx="1272117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88402966399123"/>
    <pageSetUpPr fitToPage="1"/>
  </sheetPr>
  <dimension ref="A1:AT966"/>
  <sheetViews>
    <sheetView showGridLines="0" topLeftCell="A7" zoomScale="70" zoomScaleNormal="70" zoomScaleSheetLayoutView="90" workbookViewId="0">
      <pane xSplit="1" topLeftCell="B1" activePane="topRight" state="frozen"/>
      <selection pane="topRight" activeCell="V31" sqref="V31"/>
    </sheetView>
  </sheetViews>
  <sheetFormatPr baseColWidth="10" defaultColWidth="12.625" defaultRowHeight="15" customHeight="1"/>
  <cols>
    <col min="1" max="1" width="31.125" style="7" bestFit="1" customWidth="1"/>
    <col min="2" max="3" width="4.375" style="7" customWidth="1"/>
    <col min="4" max="4" width="3.625" style="7" customWidth="1"/>
    <col min="5" max="5" width="4.375" style="7" customWidth="1"/>
    <col min="6" max="6" width="4.5" style="7" customWidth="1"/>
    <col min="7" max="7" width="4.875" style="7" customWidth="1"/>
    <col min="8" max="8" width="4.375" style="7" customWidth="1"/>
    <col min="9" max="9" width="5" style="7" customWidth="1"/>
    <col min="10" max="10" width="5.125" style="7" customWidth="1"/>
    <col min="11" max="12" width="4.375" style="7" customWidth="1"/>
    <col min="13" max="13" width="4.625" style="7" customWidth="1"/>
    <col min="14" max="14" width="4.75" style="7" customWidth="1"/>
    <col min="15" max="15" width="3.875" style="7" customWidth="1"/>
    <col min="16" max="20" width="4.375" style="7" customWidth="1"/>
    <col min="21" max="21" width="4.75" style="7" customWidth="1"/>
    <col min="22" max="22" width="4.375" style="7" customWidth="1"/>
    <col min="23" max="23" width="4" style="7" customWidth="1"/>
    <col min="24" max="27" width="4.375" style="7" customWidth="1"/>
    <col min="28" max="28" width="3.875" style="7" customWidth="1"/>
    <col min="29" max="29" width="3.625" style="7" customWidth="1"/>
    <col min="30" max="30" width="4.75" style="7" customWidth="1"/>
    <col min="31" max="31" width="3.625" style="7" customWidth="1"/>
    <col min="32" max="32" width="4.75" style="7" customWidth="1"/>
    <col min="33" max="33" width="5.25" style="7" customWidth="1"/>
    <col min="34" max="34" width="4.25" style="7" customWidth="1"/>
    <col min="35" max="35" width="4.375" style="7" customWidth="1"/>
    <col min="36" max="36" width="5.5" style="7" bestFit="1" customWidth="1"/>
    <col min="37" max="37" width="5" style="7" customWidth="1"/>
    <col min="38" max="38" width="5.125" style="7" customWidth="1"/>
    <col min="39" max="39" width="5" style="7" customWidth="1"/>
    <col min="40" max="40" width="3.875" style="7" hidden="1" customWidth="1"/>
    <col min="41" max="41" width="7.125" style="7" customWidth="1"/>
    <col min="42" max="45" width="10" style="7" customWidth="1"/>
    <col min="46" max="16384" width="12.625" style="7"/>
  </cols>
  <sheetData>
    <row r="1" spans="1:45" ht="15.75" customHeight="1">
      <c r="A1" s="119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42" t="s">
        <v>0</v>
      </c>
      <c r="AK1" s="142"/>
      <c r="AL1" s="142"/>
      <c r="AM1" s="142"/>
      <c r="AN1" s="142"/>
      <c r="AO1" s="142"/>
      <c r="AP1" s="14"/>
      <c r="AQ1" s="14"/>
      <c r="AR1" s="14"/>
      <c r="AS1" s="14"/>
    </row>
    <row r="2" spans="1:45" ht="15" customHeight="1">
      <c r="A2" s="120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42" t="s">
        <v>1</v>
      </c>
      <c r="AK2" s="142"/>
      <c r="AL2" s="142"/>
      <c r="AM2" s="142"/>
      <c r="AN2" s="142"/>
      <c r="AO2" s="142"/>
      <c r="AP2" s="14"/>
      <c r="AQ2" s="14"/>
      <c r="AR2" s="14"/>
      <c r="AS2" s="14"/>
    </row>
    <row r="3" spans="1:45" ht="20.25" customHeight="1">
      <c r="A3" s="120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42" t="s">
        <v>2</v>
      </c>
      <c r="AK3" s="142"/>
      <c r="AL3" s="142"/>
      <c r="AM3" s="142"/>
      <c r="AN3" s="142"/>
      <c r="AO3" s="142"/>
    </row>
    <row r="4" spans="1:45" ht="23.25" customHeight="1">
      <c r="A4" s="121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43" t="s">
        <v>3</v>
      </c>
      <c r="AK4" s="143"/>
      <c r="AL4" s="143"/>
      <c r="AM4" s="143"/>
      <c r="AN4" s="143"/>
      <c r="AO4" s="143"/>
    </row>
    <row r="5" spans="1:45" ht="18.75">
      <c r="A5" s="17" t="s">
        <v>38</v>
      </c>
      <c r="B5" s="132" t="s">
        <v>4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3"/>
      <c r="AP5" s="14"/>
      <c r="AQ5" s="14"/>
      <c r="AR5" s="14"/>
      <c r="AS5" s="14"/>
    </row>
    <row r="6" spans="1:45" ht="18.75">
      <c r="A6" s="17" t="s">
        <v>39</v>
      </c>
      <c r="B6" s="128" t="s">
        <v>27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54"/>
      <c r="AN6" s="14"/>
      <c r="AO6" s="55"/>
      <c r="AP6" s="14"/>
      <c r="AQ6" s="14"/>
      <c r="AR6" s="14"/>
      <c r="AS6" s="14"/>
    </row>
    <row r="7" spans="1:45" ht="15.75">
      <c r="A7" s="18" t="s">
        <v>5</v>
      </c>
      <c r="B7" s="130" t="s">
        <v>56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4"/>
      <c r="AO7" s="55"/>
      <c r="AP7" s="14"/>
      <c r="AQ7" s="14"/>
      <c r="AR7" s="14"/>
      <c r="AS7" s="14"/>
    </row>
    <row r="8" spans="1:45" ht="15.75">
      <c r="A8" s="159" t="s">
        <v>6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6"/>
      <c r="AS8" s="6"/>
    </row>
    <row r="9" spans="1:45" ht="18.75" customHeight="1">
      <c r="A9" s="122" t="s">
        <v>51</v>
      </c>
      <c r="B9" s="79">
        <v>1</v>
      </c>
      <c r="C9" s="79">
        <v>2</v>
      </c>
      <c r="D9" s="171" t="s">
        <v>28</v>
      </c>
      <c r="E9" s="79">
        <v>3</v>
      </c>
      <c r="F9" s="79">
        <v>4</v>
      </c>
      <c r="G9" s="79">
        <v>5</v>
      </c>
      <c r="H9" s="79">
        <v>6</v>
      </c>
      <c r="I9" s="79">
        <v>7</v>
      </c>
      <c r="J9" s="79">
        <v>8</v>
      </c>
      <c r="K9" s="79">
        <v>9</v>
      </c>
      <c r="L9" s="171" t="s">
        <v>28</v>
      </c>
      <c r="M9" s="79">
        <v>10</v>
      </c>
      <c r="N9" s="79">
        <v>11</v>
      </c>
      <c r="O9" s="79">
        <v>12</v>
      </c>
      <c r="P9" s="79">
        <v>13</v>
      </c>
      <c r="Q9" s="79">
        <v>14</v>
      </c>
      <c r="R9" s="79">
        <v>15</v>
      </c>
      <c r="S9" s="79">
        <v>16</v>
      </c>
      <c r="T9" s="171" t="s">
        <v>28</v>
      </c>
      <c r="U9" s="79">
        <v>17</v>
      </c>
      <c r="V9" s="79">
        <v>18</v>
      </c>
      <c r="W9" s="79">
        <v>19</v>
      </c>
      <c r="X9" s="79">
        <v>20</v>
      </c>
      <c r="Y9" s="79">
        <v>21</v>
      </c>
      <c r="Z9" s="79">
        <v>22</v>
      </c>
      <c r="AA9" s="79">
        <v>23</v>
      </c>
      <c r="AB9" s="171" t="s">
        <v>28</v>
      </c>
      <c r="AC9" s="79">
        <v>24</v>
      </c>
      <c r="AD9" s="79">
        <v>25</v>
      </c>
      <c r="AE9" s="79">
        <v>26</v>
      </c>
      <c r="AF9" s="79">
        <v>27</v>
      </c>
      <c r="AG9" s="79">
        <v>28</v>
      </c>
      <c r="AH9" s="79">
        <v>29</v>
      </c>
      <c r="AI9" s="79">
        <v>30</v>
      </c>
      <c r="AJ9" s="158"/>
      <c r="AK9" s="80">
        <v>31</v>
      </c>
      <c r="AL9" s="144"/>
      <c r="AM9" s="167" t="s">
        <v>8</v>
      </c>
      <c r="AN9" s="167"/>
      <c r="AO9" s="167"/>
      <c r="AP9" s="167"/>
      <c r="AQ9" s="168"/>
      <c r="AR9" s="14"/>
      <c r="AS9" s="14"/>
    </row>
    <row r="10" spans="1:45" ht="15" customHeight="1">
      <c r="A10" s="123"/>
      <c r="B10" s="45" t="s">
        <v>14</v>
      </c>
      <c r="C10" s="44" t="s">
        <v>9</v>
      </c>
      <c r="D10" s="156"/>
      <c r="E10" s="44" t="s">
        <v>10</v>
      </c>
      <c r="F10" s="43" t="s">
        <v>11</v>
      </c>
      <c r="G10" s="43" t="s">
        <v>11</v>
      </c>
      <c r="H10" s="43" t="s">
        <v>12</v>
      </c>
      <c r="I10" s="43" t="s">
        <v>13</v>
      </c>
      <c r="J10" s="43" t="s">
        <v>14</v>
      </c>
      <c r="K10" s="43" t="s">
        <v>9</v>
      </c>
      <c r="L10" s="156"/>
      <c r="M10" s="44" t="s">
        <v>10</v>
      </c>
      <c r="N10" s="43" t="s">
        <v>11</v>
      </c>
      <c r="O10" s="43" t="s">
        <v>11</v>
      </c>
      <c r="P10" s="43" t="s">
        <v>12</v>
      </c>
      <c r="Q10" s="43" t="s">
        <v>13</v>
      </c>
      <c r="R10" s="43" t="s">
        <v>14</v>
      </c>
      <c r="S10" s="43" t="s">
        <v>9</v>
      </c>
      <c r="T10" s="156"/>
      <c r="U10" s="44" t="s">
        <v>10</v>
      </c>
      <c r="V10" s="43" t="s">
        <v>11</v>
      </c>
      <c r="W10" s="43" t="s">
        <v>11</v>
      </c>
      <c r="X10" s="43" t="s">
        <v>12</v>
      </c>
      <c r="Y10" s="43" t="s">
        <v>13</v>
      </c>
      <c r="Z10" s="43" t="s">
        <v>14</v>
      </c>
      <c r="AA10" s="43" t="s">
        <v>9</v>
      </c>
      <c r="AB10" s="156"/>
      <c r="AC10" s="44" t="s">
        <v>10</v>
      </c>
      <c r="AD10" s="43" t="s">
        <v>11</v>
      </c>
      <c r="AE10" s="43" t="s">
        <v>11</v>
      </c>
      <c r="AF10" s="43" t="s">
        <v>12</v>
      </c>
      <c r="AG10" s="43" t="s">
        <v>13</v>
      </c>
      <c r="AH10" s="43" t="s">
        <v>14</v>
      </c>
      <c r="AI10" s="43" t="s">
        <v>9</v>
      </c>
      <c r="AJ10" s="158"/>
      <c r="AK10" s="66" t="s">
        <v>10</v>
      </c>
      <c r="AL10" s="145"/>
      <c r="AM10" s="169"/>
      <c r="AN10" s="169"/>
      <c r="AO10" s="169"/>
      <c r="AP10" s="169"/>
      <c r="AQ10" s="170"/>
      <c r="AR10" s="14"/>
      <c r="AS10" s="14"/>
    </row>
    <row r="11" spans="1:45" ht="20.25" customHeight="1">
      <c r="A11" s="40" t="s">
        <v>52</v>
      </c>
      <c r="B11" s="48" t="s">
        <v>22</v>
      </c>
      <c r="C11" s="48" t="s">
        <v>22</v>
      </c>
      <c r="D11" s="160"/>
      <c r="E11" s="39" t="s">
        <v>11</v>
      </c>
      <c r="F11" s="39" t="s">
        <v>10</v>
      </c>
      <c r="G11" s="39" t="s">
        <v>9</v>
      </c>
      <c r="H11" s="39" t="s">
        <v>9</v>
      </c>
      <c r="I11" s="48" t="s">
        <v>22</v>
      </c>
      <c r="J11" s="46" t="s">
        <v>10</v>
      </c>
      <c r="K11" s="47" t="s">
        <v>10</v>
      </c>
      <c r="L11" s="75"/>
      <c r="M11" s="39" t="s">
        <v>9</v>
      </c>
      <c r="N11" s="39" t="s">
        <v>25</v>
      </c>
      <c r="O11" s="39" t="s">
        <v>10</v>
      </c>
      <c r="P11" s="39" t="s">
        <v>25</v>
      </c>
      <c r="Q11" s="39" t="s">
        <v>11</v>
      </c>
      <c r="R11" s="48" t="s">
        <v>21</v>
      </c>
      <c r="S11" s="48" t="s">
        <v>21</v>
      </c>
      <c r="T11" s="163"/>
      <c r="U11" s="47" t="s">
        <v>10</v>
      </c>
      <c r="V11" s="39" t="s">
        <v>25</v>
      </c>
      <c r="W11" s="39" t="s">
        <v>10</v>
      </c>
      <c r="X11" s="39" t="s">
        <v>25</v>
      </c>
      <c r="Y11" s="39" t="s">
        <v>25</v>
      </c>
      <c r="Z11" s="46" t="s">
        <v>10</v>
      </c>
      <c r="AA11" s="47" t="s">
        <v>10</v>
      </c>
      <c r="AB11" s="163"/>
      <c r="AC11" s="39" t="s">
        <v>9</v>
      </c>
      <c r="AD11" s="39" t="s">
        <v>9</v>
      </c>
      <c r="AE11" s="39" t="s">
        <v>10</v>
      </c>
      <c r="AF11" s="39" t="s">
        <v>9</v>
      </c>
      <c r="AG11" s="39" t="s">
        <v>10</v>
      </c>
      <c r="AH11" s="48" t="s">
        <v>22</v>
      </c>
      <c r="AI11" s="48" t="s">
        <v>22</v>
      </c>
      <c r="AJ11" s="166"/>
      <c r="AK11" s="39" t="s">
        <v>25</v>
      </c>
      <c r="AL11" s="74" t="s">
        <v>7</v>
      </c>
      <c r="AM11" s="148"/>
      <c r="AN11" s="149"/>
      <c r="AO11" s="149"/>
      <c r="AP11" s="149"/>
      <c r="AQ11" s="150"/>
      <c r="AR11" s="14"/>
      <c r="AS11" s="14"/>
    </row>
    <row r="12" spans="1:45" ht="18" customHeight="1">
      <c r="A12" s="40" t="s">
        <v>24</v>
      </c>
      <c r="B12" s="48" t="s">
        <v>21</v>
      </c>
      <c r="C12" s="48" t="s">
        <v>21</v>
      </c>
      <c r="D12" s="161"/>
      <c r="E12" s="39" t="s">
        <v>10</v>
      </c>
      <c r="F12" s="39" t="s">
        <v>9</v>
      </c>
      <c r="G12" s="39" t="s">
        <v>25</v>
      </c>
      <c r="H12" s="39" t="s">
        <v>10</v>
      </c>
      <c r="I12" s="48" t="s">
        <v>21</v>
      </c>
      <c r="J12" s="46" t="s">
        <v>10</v>
      </c>
      <c r="K12" s="47" t="s">
        <v>10</v>
      </c>
      <c r="L12" s="69"/>
      <c r="M12" s="39" t="s">
        <v>9</v>
      </c>
      <c r="N12" s="39" t="s">
        <v>9</v>
      </c>
      <c r="O12" s="39" t="s">
        <v>25</v>
      </c>
      <c r="P12" s="39" t="s">
        <v>10</v>
      </c>
      <c r="Q12" s="39" t="s">
        <v>11</v>
      </c>
      <c r="R12" s="48" t="s">
        <v>22</v>
      </c>
      <c r="S12" s="48" t="s">
        <v>22</v>
      </c>
      <c r="T12" s="164"/>
      <c r="U12" s="47" t="s">
        <v>10</v>
      </c>
      <c r="V12" s="39" t="s">
        <v>11</v>
      </c>
      <c r="W12" s="39" t="s">
        <v>11</v>
      </c>
      <c r="X12" s="39" t="s">
        <v>9</v>
      </c>
      <c r="Y12" s="39" t="s">
        <v>11</v>
      </c>
      <c r="Z12" s="46" t="s">
        <v>10</v>
      </c>
      <c r="AA12" s="47" t="s">
        <v>10</v>
      </c>
      <c r="AB12" s="164"/>
      <c r="AC12" s="39" t="s">
        <v>11</v>
      </c>
      <c r="AD12" s="39" t="s">
        <v>25</v>
      </c>
      <c r="AE12" s="39" t="s">
        <v>25</v>
      </c>
      <c r="AF12" s="39" t="s">
        <v>10</v>
      </c>
      <c r="AG12" s="39" t="s">
        <v>9</v>
      </c>
      <c r="AH12" s="48" t="s">
        <v>21</v>
      </c>
      <c r="AI12" s="48" t="s">
        <v>21</v>
      </c>
      <c r="AJ12" s="164"/>
      <c r="AK12" s="39" t="s">
        <v>10</v>
      </c>
      <c r="AL12" s="74" t="s">
        <v>7</v>
      </c>
      <c r="AM12" s="148"/>
      <c r="AN12" s="149"/>
      <c r="AO12" s="149"/>
      <c r="AP12" s="149"/>
      <c r="AQ12" s="150"/>
      <c r="AR12" s="14"/>
      <c r="AS12" s="14"/>
    </row>
    <row r="13" spans="1:45" ht="20.25" customHeight="1">
      <c r="A13" s="40" t="s">
        <v>53</v>
      </c>
      <c r="B13" s="46" t="s">
        <v>10</v>
      </c>
      <c r="C13" s="47" t="s">
        <v>10</v>
      </c>
      <c r="D13" s="161"/>
      <c r="E13" s="39" t="s">
        <v>9</v>
      </c>
      <c r="F13" s="39" t="s">
        <v>9</v>
      </c>
      <c r="G13" s="39" t="s">
        <v>9</v>
      </c>
      <c r="H13" s="39" t="s">
        <v>9</v>
      </c>
      <c r="I13" s="39" t="s">
        <v>10</v>
      </c>
      <c r="J13" s="48" t="s">
        <v>22</v>
      </c>
      <c r="K13" s="48" t="s">
        <v>22</v>
      </c>
      <c r="L13" s="69"/>
      <c r="M13" s="39" t="s">
        <v>25</v>
      </c>
      <c r="N13" s="39" t="s">
        <v>10</v>
      </c>
      <c r="O13" s="39" t="s">
        <v>9</v>
      </c>
      <c r="P13" s="39" t="s">
        <v>9</v>
      </c>
      <c r="Q13" s="39" t="s">
        <v>9</v>
      </c>
      <c r="R13" s="46" t="s">
        <v>10</v>
      </c>
      <c r="S13" s="47" t="s">
        <v>10</v>
      </c>
      <c r="T13" s="164"/>
      <c r="U13" s="48" t="s">
        <v>22</v>
      </c>
      <c r="V13" s="39" t="s">
        <v>9</v>
      </c>
      <c r="W13" s="39" t="s">
        <v>10</v>
      </c>
      <c r="X13" s="39" t="s">
        <v>9</v>
      </c>
      <c r="Y13" s="39" t="s">
        <v>9</v>
      </c>
      <c r="Z13" s="48" t="s">
        <v>21</v>
      </c>
      <c r="AA13" s="48" t="s">
        <v>21</v>
      </c>
      <c r="AB13" s="164"/>
      <c r="AC13" s="39" t="s">
        <v>10</v>
      </c>
      <c r="AD13" s="39" t="s">
        <v>9</v>
      </c>
      <c r="AE13" s="39" t="s">
        <v>10</v>
      </c>
      <c r="AF13" s="39" t="s">
        <v>25</v>
      </c>
      <c r="AG13" s="39" t="s">
        <v>23</v>
      </c>
      <c r="AH13" s="46" t="s">
        <v>10</v>
      </c>
      <c r="AI13" s="47" t="s">
        <v>10</v>
      </c>
      <c r="AJ13" s="164"/>
      <c r="AK13" s="39" t="s">
        <v>9</v>
      </c>
      <c r="AL13" s="74" t="s">
        <v>7</v>
      </c>
      <c r="AM13" s="148"/>
      <c r="AN13" s="149"/>
      <c r="AO13" s="149"/>
      <c r="AP13" s="149"/>
      <c r="AQ13" s="150"/>
      <c r="AR13" s="14"/>
      <c r="AS13" s="14"/>
    </row>
    <row r="14" spans="1:45" s="13" customFormat="1" ht="19.5" customHeight="1">
      <c r="A14" s="40" t="s">
        <v>54</v>
      </c>
      <c r="B14" s="46" t="s">
        <v>10</v>
      </c>
      <c r="C14" s="47" t="s">
        <v>10</v>
      </c>
      <c r="D14" s="162"/>
      <c r="E14" s="39" t="s">
        <v>25</v>
      </c>
      <c r="F14" s="39" t="s">
        <v>25</v>
      </c>
      <c r="G14" s="39" t="s">
        <v>23</v>
      </c>
      <c r="H14" s="39" t="s">
        <v>25</v>
      </c>
      <c r="I14" s="39" t="s">
        <v>10</v>
      </c>
      <c r="J14" s="48" t="s">
        <v>21</v>
      </c>
      <c r="K14" s="48" t="s">
        <v>21</v>
      </c>
      <c r="L14" s="70"/>
      <c r="M14" s="39" t="s">
        <v>10</v>
      </c>
      <c r="N14" s="39" t="s">
        <v>9</v>
      </c>
      <c r="O14" s="39" t="s">
        <v>9</v>
      </c>
      <c r="P14" s="39" t="s">
        <v>9</v>
      </c>
      <c r="Q14" s="39" t="s">
        <v>25</v>
      </c>
      <c r="R14" s="46" t="s">
        <v>10</v>
      </c>
      <c r="S14" s="47" t="s">
        <v>10</v>
      </c>
      <c r="T14" s="165"/>
      <c r="U14" s="48" t="s">
        <v>21</v>
      </c>
      <c r="V14" s="39" t="s">
        <v>10</v>
      </c>
      <c r="W14" s="39" t="s">
        <v>9</v>
      </c>
      <c r="X14" s="39" t="s">
        <v>25</v>
      </c>
      <c r="Y14" s="39" t="s">
        <v>25</v>
      </c>
      <c r="Z14" s="48" t="s">
        <v>22</v>
      </c>
      <c r="AA14" s="48" t="s">
        <v>22</v>
      </c>
      <c r="AB14" s="165"/>
      <c r="AC14" s="39" t="s">
        <v>25</v>
      </c>
      <c r="AD14" s="39" t="s">
        <v>10</v>
      </c>
      <c r="AE14" s="39" t="s">
        <v>9</v>
      </c>
      <c r="AF14" s="39" t="s">
        <v>11</v>
      </c>
      <c r="AG14" s="39" t="s">
        <v>25</v>
      </c>
      <c r="AH14" s="46" t="s">
        <v>10</v>
      </c>
      <c r="AI14" s="47" t="s">
        <v>10</v>
      </c>
      <c r="AJ14" s="165"/>
      <c r="AK14" s="39" t="s">
        <v>11</v>
      </c>
      <c r="AL14" s="74" t="s">
        <v>7</v>
      </c>
      <c r="AM14" s="148"/>
      <c r="AN14" s="149"/>
      <c r="AO14" s="149"/>
      <c r="AP14" s="149"/>
      <c r="AQ14" s="150"/>
      <c r="AR14" s="19"/>
      <c r="AS14" s="19"/>
    </row>
    <row r="15" spans="1:45" s="13" customFormat="1" ht="19.5" customHeight="1">
      <c r="AM15" s="19"/>
      <c r="AN15" s="19"/>
      <c r="AO15" s="19"/>
      <c r="AP15" s="19"/>
      <c r="AQ15" s="19"/>
      <c r="AR15" s="19"/>
      <c r="AS15" s="19"/>
    </row>
    <row r="16" spans="1:45" ht="15.7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20"/>
      <c r="AS16" s="20"/>
    </row>
    <row r="17" spans="1:45" ht="18.75" customHeight="1">
      <c r="A17" s="124" t="str">
        <f>+A9</f>
        <v>NOMBRE</v>
      </c>
      <c r="B17" s="43">
        <v>1</v>
      </c>
      <c r="C17" s="43">
        <v>2</v>
      </c>
      <c r="D17" s="155" t="s">
        <v>28</v>
      </c>
      <c r="E17" s="43">
        <v>3</v>
      </c>
      <c r="F17" s="43">
        <v>4</v>
      </c>
      <c r="G17" s="43">
        <v>5</v>
      </c>
      <c r="H17" s="43">
        <v>6</v>
      </c>
      <c r="I17" s="43">
        <v>7</v>
      </c>
      <c r="J17" s="43">
        <v>8</v>
      </c>
      <c r="K17" s="43">
        <v>9</v>
      </c>
      <c r="L17" s="155" t="s">
        <v>28</v>
      </c>
      <c r="M17" s="43">
        <v>10</v>
      </c>
      <c r="N17" s="43">
        <v>11</v>
      </c>
      <c r="O17" s="43">
        <v>12</v>
      </c>
      <c r="P17" s="43">
        <v>13</v>
      </c>
      <c r="Q17" s="43">
        <v>14</v>
      </c>
      <c r="R17" s="43">
        <v>15</v>
      </c>
      <c r="S17" s="43">
        <v>16</v>
      </c>
      <c r="T17" s="155" t="s">
        <v>28</v>
      </c>
      <c r="U17" s="43">
        <v>17</v>
      </c>
      <c r="V17" s="43">
        <v>18</v>
      </c>
      <c r="W17" s="43">
        <v>19</v>
      </c>
      <c r="X17" s="43">
        <v>20</v>
      </c>
      <c r="Y17" s="43">
        <v>21</v>
      </c>
      <c r="Z17" s="43">
        <v>22</v>
      </c>
      <c r="AA17" s="43">
        <v>23</v>
      </c>
      <c r="AB17" s="155" t="s">
        <v>28</v>
      </c>
      <c r="AC17" s="43">
        <v>24</v>
      </c>
      <c r="AD17" s="43">
        <v>25</v>
      </c>
      <c r="AE17" s="43">
        <v>26</v>
      </c>
      <c r="AF17" s="43">
        <v>27</v>
      </c>
      <c r="AG17" s="43">
        <v>28</v>
      </c>
      <c r="AH17" s="43">
        <v>29</v>
      </c>
      <c r="AI17" s="43">
        <v>30</v>
      </c>
      <c r="AJ17" s="157"/>
      <c r="AK17" s="65">
        <v>31</v>
      </c>
      <c r="AL17" s="146"/>
      <c r="AM17" s="153"/>
      <c r="AN17" s="72"/>
      <c r="AO17" s="154" t="s">
        <v>55</v>
      </c>
      <c r="AP17" s="154"/>
      <c r="AQ17" s="154"/>
      <c r="AR17" s="14"/>
      <c r="AS17" s="14"/>
    </row>
    <row r="18" spans="1:45" ht="17.25" customHeight="1">
      <c r="A18" s="125"/>
      <c r="B18" s="45" t="s">
        <v>14</v>
      </c>
      <c r="C18" s="44" t="s">
        <v>9</v>
      </c>
      <c r="D18" s="156"/>
      <c r="E18" s="44" t="s">
        <v>10</v>
      </c>
      <c r="F18" s="43" t="s">
        <v>11</v>
      </c>
      <c r="G18" s="43" t="s">
        <v>11</v>
      </c>
      <c r="H18" s="43" t="s">
        <v>12</v>
      </c>
      <c r="I18" s="43" t="s">
        <v>13</v>
      </c>
      <c r="J18" s="43" t="s">
        <v>14</v>
      </c>
      <c r="K18" s="43" t="s">
        <v>9</v>
      </c>
      <c r="L18" s="156"/>
      <c r="M18" s="44" t="s">
        <v>10</v>
      </c>
      <c r="N18" s="43" t="s">
        <v>11</v>
      </c>
      <c r="O18" s="43" t="s">
        <v>11</v>
      </c>
      <c r="P18" s="43" t="s">
        <v>12</v>
      </c>
      <c r="Q18" s="43" t="s">
        <v>13</v>
      </c>
      <c r="R18" s="43" t="s">
        <v>14</v>
      </c>
      <c r="S18" s="43" t="s">
        <v>9</v>
      </c>
      <c r="T18" s="156"/>
      <c r="U18" s="44" t="s">
        <v>10</v>
      </c>
      <c r="V18" s="43" t="s">
        <v>11</v>
      </c>
      <c r="W18" s="43" t="s">
        <v>11</v>
      </c>
      <c r="X18" s="43" t="s">
        <v>12</v>
      </c>
      <c r="Y18" s="43" t="s">
        <v>13</v>
      </c>
      <c r="Z18" s="43" t="s">
        <v>14</v>
      </c>
      <c r="AA18" s="43" t="s">
        <v>9</v>
      </c>
      <c r="AB18" s="156"/>
      <c r="AC18" s="44" t="s">
        <v>10</v>
      </c>
      <c r="AD18" s="43" t="s">
        <v>11</v>
      </c>
      <c r="AE18" s="43" t="s">
        <v>11</v>
      </c>
      <c r="AF18" s="43" t="s">
        <v>12</v>
      </c>
      <c r="AG18" s="43" t="s">
        <v>13</v>
      </c>
      <c r="AH18" s="43" t="s">
        <v>14</v>
      </c>
      <c r="AI18" s="43" t="s">
        <v>9</v>
      </c>
      <c r="AJ18" s="158"/>
      <c r="AK18" s="66" t="s">
        <v>10</v>
      </c>
      <c r="AL18" s="147"/>
      <c r="AM18" s="153"/>
      <c r="AN18" s="73"/>
      <c r="AO18" s="154"/>
      <c r="AP18" s="154"/>
      <c r="AQ18" s="154"/>
      <c r="AR18" s="14"/>
      <c r="AS18" s="14"/>
    </row>
    <row r="19" spans="1:45" ht="16.5" customHeight="1">
      <c r="A19" s="21" t="str">
        <f>A11</f>
        <v>LAURY CAMILA ESPINOSA</v>
      </c>
      <c r="B19" s="22">
        <f>VLOOKUP(B11,$B$29:$R$37,14,0)</f>
        <v>7</v>
      </c>
      <c r="C19" s="22">
        <f t="shared" ref="C19:H20" si="0">VLOOKUP(C11,$B$30:$Q$35,14,0)</f>
        <v>7</v>
      </c>
      <c r="D19" s="22">
        <f>SUM(B19:C19)</f>
        <v>14</v>
      </c>
      <c r="E19" s="22">
        <f t="shared" ref="E19:G20" si="1">VLOOKUP(E11,$B$29:$R$37,14,0)</f>
        <v>6.5</v>
      </c>
      <c r="F19" s="22">
        <f t="shared" si="1"/>
        <v>0</v>
      </c>
      <c r="G19" s="22">
        <f t="shared" si="1"/>
        <v>9</v>
      </c>
      <c r="H19" s="22">
        <f t="shared" si="0"/>
        <v>9</v>
      </c>
      <c r="I19" s="22">
        <f t="shared" ref="I19:Y20" si="2">VLOOKUP(I11,$B$30:$Q$35,14,0)</f>
        <v>7</v>
      </c>
      <c r="J19" s="22">
        <f>VLOOKUP(J11,$B$30:$R$37,14,0)</f>
        <v>0</v>
      </c>
      <c r="K19" s="22">
        <f>VLOOKUP(K11,$B$30:$R$37,14,0)</f>
        <v>0</v>
      </c>
      <c r="L19" s="22">
        <f>SUM(E19:K19)</f>
        <v>31.5</v>
      </c>
      <c r="M19" s="22">
        <f t="shared" si="2"/>
        <v>9</v>
      </c>
      <c r="N19" s="22">
        <f t="shared" si="2"/>
        <v>8</v>
      </c>
      <c r="O19" s="22">
        <f>VLOOKUP(O11,$B$28:$R$37,14,0)</f>
        <v>0</v>
      </c>
      <c r="P19" s="22">
        <f t="shared" si="2"/>
        <v>8</v>
      </c>
      <c r="Q19" s="22">
        <f>VLOOKUP(Q11,$B$28:$R$37,14,0)</f>
        <v>6.5</v>
      </c>
      <c r="R19" s="22">
        <f t="shared" si="2"/>
        <v>9</v>
      </c>
      <c r="S19" s="22">
        <f t="shared" si="2"/>
        <v>9</v>
      </c>
      <c r="T19" s="22">
        <f>SUM(M19:S19)</f>
        <v>49.5</v>
      </c>
      <c r="U19" s="22">
        <f>VLOOKUP(U11,$B$28:$R$37,14,0)</f>
        <v>0</v>
      </c>
      <c r="V19" s="22">
        <f t="shared" si="2"/>
        <v>8</v>
      </c>
      <c r="W19" s="22">
        <f>VLOOKUP(W11,$B$29:$R$37,14,0)</f>
        <v>0</v>
      </c>
      <c r="X19" s="22">
        <f t="shared" si="2"/>
        <v>8</v>
      </c>
      <c r="Y19" s="22">
        <f t="shared" si="2"/>
        <v>8</v>
      </c>
      <c r="Z19" s="22">
        <f>VLOOKUP(Z11,$B$30:$R$37,14,0)</f>
        <v>0</v>
      </c>
      <c r="AA19" s="22">
        <f>VLOOKUP(AA11,$B$30:$R$37,14,0)</f>
        <v>0</v>
      </c>
      <c r="AB19" s="22">
        <f>SUM(U19:AA19)</f>
        <v>24</v>
      </c>
      <c r="AC19" s="22">
        <f t="shared" ref="AC19:AI20" si="3">VLOOKUP(AC11,$B$30:$R$37,14,0)</f>
        <v>9</v>
      </c>
      <c r="AD19" s="22">
        <f t="shared" si="3"/>
        <v>9</v>
      </c>
      <c r="AE19" s="22">
        <f t="shared" si="3"/>
        <v>0</v>
      </c>
      <c r="AF19" s="22">
        <f t="shared" si="3"/>
        <v>9</v>
      </c>
      <c r="AG19" s="22">
        <f t="shared" si="3"/>
        <v>0</v>
      </c>
      <c r="AH19" s="22">
        <f t="shared" si="3"/>
        <v>7</v>
      </c>
      <c r="AI19" s="22">
        <f t="shared" si="3"/>
        <v>7</v>
      </c>
      <c r="AJ19" s="22">
        <f>SUM(AC19:AI19)</f>
        <v>41</v>
      </c>
      <c r="AK19" s="22">
        <f>VLOOKUP(AK11,$B$30:$R$37,14,0)</f>
        <v>8</v>
      </c>
      <c r="AL19" s="22">
        <f>VLOOKUP(AL11,$B$28:$R$37,14,0)</f>
        <v>1</v>
      </c>
      <c r="AM19" s="76">
        <f>SUM(AK19:AL19)</f>
        <v>9</v>
      </c>
      <c r="AN19" s="71"/>
      <c r="AO19" s="172">
        <f>SUM(D19+L19+T19+AB19+AM19+AJ19)</f>
        <v>169</v>
      </c>
      <c r="AP19" s="172"/>
      <c r="AQ19" s="172"/>
      <c r="AR19" s="20"/>
      <c r="AS19" s="36"/>
    </row>
    <row r="20" spans="1:45" ht="16.5" customHeight="1">
      <c r="A20" s="21" t="str">
        <f t="shared" ref="A20:A22" si="4">A12</f>
        <v>LUZ ALEIDA DIAZ</v>
      </c>
      <c r="B20" s="22">
        <f>VLOOKUP(B12,$B$29:$R$37,14,0)</f>
        <v>9</v>
      </c>
      <c r="C20" s="22">
        <f t="shared" si="0"/>
        <v>9</v>
      </c>
      <c r="D20" s="22">
        <f>SUM(B20:C20)</f>
        <v>18</v>
      </c>
      <c r="E20" s="22">
        <f t="shared" si="1"/>
        <v>0</v>
      </c>
      <c r="F20" s="22">
        <f t="shared" si="1"/>
        <v>9</v>
      </c>
      <c r="G20" s="22">
        <f t="shared" si="1"/>
        <v>8</v>
      </c>
      <c r="H20" s="22">
        <f>VLOOKUP(H12,$B$30:$R$37,14,0)</f>
        <v>0</v>
      </c>
      <c r="I20" s="22">
        <f t="shared" si="2"/>
        <v>9</v>
      </c>
      <c r="J20" s="22">
        <f>VLOOKUP(J12,$B$30:$R$37,14,0)</f>
        <v>0</v>
      </c>
      <c r="K20" s="22">
        <f>VLOOKUP(K12,$B$30:$R$37,14,0)</f>
        <v>0</v>
      </c>
      <c r="L20" s="22">
        <f>SUM(E20:K20)</f>
        <v>26</v>
      </c>
      <c r="M20" s="22">
        <f t="shared" si="2"/>
        <v>9</v>
      </c>
      <c r="N20" s="22">
        <f t="shared" si="2"/>
        <v>9</v>
      </c>
      <c r="O20" s="22">
        <f t="shared" si="2"/>
        <v>8</v>
      </c>
      <c r="P20" s="22">
        <f>VLOOKUP(P12,$B$28:$R$37,14,0)</f>
        <v>0</v>
      </c>
      <c r="Q20" s="22">
        <f>VLOOKUP(Q12,$B$28:$R$37,14,0)</f>
        <v>6.5</v>
      </c>
      <c r="R20" s="22">
        <f t="shared" si="2"/>
        <v>7</v>
      </c>
      <c r="S20" s="22">
        <f t="shared" si="2"/>
        <v>7</v>
      </c>
      <c r="T20" s="22">
        <f>SUM(M20:S20)</f>
        <v>46.5</v>
      </c>
      <c r="U20" s="22">
        <f>VLOOKUP(U12,$B$28:$R$37,14,0)</f>
        <v>0</v>
      </c>
      <c r="V20" s="22">
        <f t="shared" si="2"/>
        <v>6.5</v>
      </c>
      <c r="W20" s="22">
        <f t="shared" si="2"/>
        <v>6.5</v>
      </c>
      <c r="X20" s="22">
        <f t="shared" si="2"/>
        <v>9</v>
      </c>
      <c r="Y20" s="22">
        <f t="shared" si="2"/>
        <v>6.5</v>
      </c>
      <c r="Z20" s="22">
        <f>VLOOKUP(Z12,$B$30:$R$37,14,0)</f>
        <v>0</v>
      </c>
      <c r="AA20" s="22">
        <f>VLOOKUP(AA12,$B$30:$R$37,14,0)</f>
        <v>0</v>
      </c>
      <c r="AB20" s="22">
        <f>SUM(U20:AA20)</f>
        <v>28.5</v>
      </c>
      <c r="AC20" s="22">
        <f t="shared" si="3"/>
        <v>6.5</v>
      </c>
      <c r="AD20" s="22">
        <f t="shared" si="3"/>
        <v>8</v>
      </c>
      <c r="AE20" s="22">
        <f t="shared" si="3"/>
        <v>8</v>
      </c>
      <c r="AF20" s="22">
        <f t="shared" si="3"/>
        <v>0</v>
      </c>
      <c r="AG20" s="22">
        <f t="shared" si="3"/>
        <v>9</v>
      </c>
      <c r="AH20" s="22">
        <f t="shared" si="3"/>
        <v>9</v>
      </c>
      <c r="AI20" s="22">
        <f t="shared" si="3"/>
        <v>9</v>
      </c>
      <c r="AJ20" s="22">
        <f>SUM(AC20:AI20)</f>
        <v>49.5</v>
      </c>
      <c r="AK20" s="22">
        <f>VLOOKUP(AK12,$B$30:$R$37,14,0)</f>
        <v>0</v>
      </c>
      <c r="AL20" s="22">
        <f>VLOOKUP(AL12,$B$28:$R$37,14,0)</f>
        <v>1</v>
      </c>
      <c r="AM20" s="76">
        <f>SUM(AK20:AL20)</f>
        <v>1</v>
      </c>
      <c r="AO20" s="172">
        <f t="shared" ref="AO20:AO21" si="5">SUM(D20+L20+T20+AB20+AM20+AJ20)</f>
        <v>169.5</v>
      </c>
      <c r="AP20" s="172"/>
      <c r="AQ20" s="172"/>
      <c r="AR20" s="20"/>
      <c r="AS20" s="36"/>
    </row>
    <row r="21" spans="1:45" s="38" customFormat="1" ht="16.5" customHeight="1">
      <c r="A21" s="21" t="str">
        <f t="shared" si="4"/>
        <v>MARLENE PORTILLA</v>
      </c>
      <c r="B21" s="22">
        <f t="shared" ref="B21:C22" si="6">VLOOKUP(B13,$B$29:$R$37,14,0)</f>
        <v>0</v>
      </c>
      <c r="C21" s="22">
        <f t="shared" si="6"/>
        <v>0</v>
      </c>
      <c r="D21" s="22">
        <f t="shared" ref="D21:D22" si="7">SUM(B21:C21)</f>
        <v>0</v>
      </c>
      <c r="E21" s="22">
        <f t="shared" ref="E21:G21" si="8">VLOOKUP(E13,$B$29:$R$37,14,0)</f>
        <v>9</v>
      </c>
      <c r="F21" s="22">
        <f t="shared" si="8"/>
        <v>9</v>
      </c>
      <c r="G21" s="22">
        <f t="shared" si="8"/>
        <v>9</v>
      </c>
      <c r="H21" s="22">
        <f t="shared" ref="H21" si="9">VLOOKUP(H13,$B$30:$Q$35,14,0)</f>
        <v>9</v>
      </c>
      <c r="I21" s="22">
        <f>VLOOKUP(I13,$B$28:$R$37,14,0)</f>
        <v>0</v>
      </c>
      <c r="J21" s="22">
        <f t="shared" ref="J21:K21" si="10">VLOOKUP(J13,$B$30:$R$37,14,0)</f>
        <v>7</v>
      </c>
      <c r="K21" s="22">
        <f t="shared" si="10"/>
        <v>7</v>
      </c>
      <c r="L21" s="22">
        <f t="shared" ref="L21:L22" si="11">SUM(E21:K21)</f>
        <v>50</v>
      </c>
      <c r="M21" s="22">
        <f t="shared" ref="M21:S22" si="12">VLOOKUP(M13,$B$30:$R$37,14,0)</f>
        <v>8</v>
      </c>
      <c r="N21" s="22">
        <f t="shared" si="12"/>
        <v>0</v>
      </c>
      <c r="O21" s="22">
        <f t="shared" si="12"/>
        <v>9</v>
      </c>
      <c r="P21" s="22">
        <f t="shared" si="12"/>
        <v>9</v>
      </c>
      <c r="Q21" s="22">
        <f t="shared" si="12"/>
        <v>9</v>
      </c>
      <c r="R21" s="22">
        <f t="shared" si="12"/>
        <v>0</v>
      </c>
      <c r="S21" s="22">
        <f t="shared" si="12"/>
        <v>0</v>
      </c>
      <c r="T21" s="22">
        <f t="shared" ref="T21:T22" si="13">SUM(M21:S21)</f>
        <v>35</v>
      </c>
      <c r="U21" s="22">
        <f t="shared" ref="U21:U22" si="14">VLOOKUP(U13,$B$28:$R$37,14,0)</f>
        <v>7</v>
      </c>
      <c r="V21" s="22">
        <f t="shared" ref="V21:Y21" si="15">VLOOKUP(V13,$B$30:$Q$35,14,0)</f>
        <v>9</v>
      </c>
      <c r="W21" s="22">
        <f>VLOOKUP(W13,$B$30:$R$37,14,0)</f>
        <v>0</v>
      </c>
      <c r="X21" s="22">
        <f t="shared" si="15"/>
        <v>9</v>
      </c>
      <c r="Y21" s="22">
        <f t="shared" si="15"/>
        <v>9</v>
      </c>
      <c r="Z21" s="22">
        <f t="shared" ref="Z21:AA21" si="16">VLOOKUP(Z13,$B$30:$R$37,14,0)</f>
        <v>9</v>
      </c>
      <c r="AA21" s="22">
        <f t="shared" si="16"/>
        <v>9</v>
      </c>
      <c r="AB21" s="22">
        <f t="shared" ref="AB21:AB22" si="17">SUM(U21:AA21)</f>
        <v>52</v>
      </c>
      <c r="AC21" s="22">
        <f t="shared" ref="AC21:AD21" si="18">VLOOKUP(AC13,$B$30:$R$37,14,0)</f>
        <v>0</v>
      </c>
      <c r="AD21" s="22">
        <f t="shared" si="18"/>
        <v>9</v>
      </c>
      <c r="AE21" s="22">
        <f t="shared" ref="AE21:AI21" si="19">VLOOKUP(AE13,$B$30:$R$37,14,0)</f>
        <v>0</v>
      </c>
      <c r="AF21" s="22">
        <f t="shared" si="19"/>
        <v>8</v>
      </c>
      <c r="AG21" s="22">
        <f t="shared" si="19"/>
        <v>6</v>
      </c>
      <c r="AH21" s="22">
        <f t="shared" si="19"/>
        <v>0</v>
      </c>
      <c r="AI21" s="22">
        <f t="shared" si="19"/>
        <v>0</v>
      </c>
      <c r="AJ21" s="22">
        <f t="shared" ref="AJ21:AJ22" si="20">SUM(AC21:AI21)</f>
        <v>23</v>
      </c>
      <c r="AK21" s="22">
        <f t="shared" ref="AK21:AL22" si="21">VLOOKUP(AK13,$B$30:$R$37,14,0)</f>
        <v>9</v>
      </c>
      <c r="AL21" s="22">
        <f t="shared" si="21"/>
        <v>1</v>
      </c>
      <c r="AM21" s="76">
        <f t="shared" ref="AM21:AM22" si="22">SUM(AK21:AL21)</f>
        <v>10</v>
      </c>
      <c r="AN21" s="7"/>
      <c r="AO21" s="172">
        <f t="shared" si="5"/>
        <v>170</v>
      </c>
      <c r="AP21" s="172"/>
      <c r="AQ21" s="172"/>
      <c r="AR21" s="37"/>
      <c r="AS21" s="37"/>
    </row>
    <row r="22" spans="1:45" ht="16.5" customHeight="1">
      <c r="A22" s="21" t="str">
        <f t="shared" si="4"/>
        <v>MAYRA ALEJANDRA VARGAS</v>
      </c>
      <c r="B22" s="22">
        <f t="shared" si="6"/>
        <v>0</v>
      </c>
      <c r="C22" s="22">
        <f t="shared" si="6"/>
        <v>0</v>
      </c>
      <c r="D22" s="22">
        <f t="shared" si="7"/>
        <v>0</v>
      </c>
      <c r="E22" s="22">
        <f t="shared" ref="E22:G22" si="23">VLOOKUP(E14,$B$29:$R$37,14,0)</f>
        <v>8</v>
      </c>
      <c r="F22" s="22">
        <f t="shared" si="23"/>
        <v>8</v>
      </c>
      <c r="G22" s="22">
        <f t="shared" si="23"/>
        <v>6</v>
      </c>
      <c r="H22" s="22">
        <f t="shared" ref="H22" si="24">VLOOKUP(H14,$B$30:$Q$35,14,0)</f>
        <v>8</v>
      </c>
      <c r="I22" s="22">
        <f>VLOOKUP(I14,$B$28:$R$37,14,0)</f>
        <v>0</v>
      </c>
      <c r="J22" s="22">
        <f t="shared" ref="J22:K22" si="25">VLOOKUP(J14,$B$30:$R$37,14,0)</f>
        <v>9</v>
      </c>
      <c r="K22" s="22">
        <f t="shared" si="25"/>
        <v>9</v>
      </c>
      <c r="L22" s="22">
        <f t="shared" si="11"/>
        <v>48</v>
      </c>
      <c r="M22" s="22">
        <f t="shared" si="12"/>
        <v>0</v>
      </c>
      <c r="N22" s="22">
        <f t="shared" si="12"/>
        <v>9</v>
      </c>
      <c r="O22" s="22">
        <f t="shared" si="12"/>
        <v>9</v>
      </c>
      <c r="P22" s="22">
        <f t="shared" si="12"/>
        <v>9</v>
      </c>
      <c r="Q22" s="22">
        <f t="shared" si="12"/>
        <v>8</v>
      </c>
      <c r="R22" s="22">
        <f t="shared" si="12"/>
        <v>0</v>
      </c>
      <c r="S22" s="22">
        <f t="shared" si="12"/>
        <v>0</v>
      </c>
      <c r="T22" s="22">
        <f t="shared" si="13"/>
        <v>35</v>
      </c>
      <c r="U22" s="22">
        <f t="shared" si="14"/>
        <v>9</v>
      </c>
      <c r="V22" s="22">
        <f>VLOOKUP(V14,$B$30:$R$37,14,0)</f>
        <v>0</v>
      </c>
      <c r="W22" s="22">
        <f t="shared" ref="W22:X22" si="26">VLOOKUP(W14,$B$30:$Q$35,14,0)</f>
        <v>9</v>
      </c>
      <c r="X22" s="22">
        <f t="shared" si="26"/>
        <v>8</v>
      </c>
      <c r="Y22" s="22">
        <f>VLOOKUP(Y14,$B$30:$R$37,14,0)</f>
        <v>8</v>
      </c>
      <c r="Z22" s="22">
        <f t="shared" ref="Z22:AA22" si="27">VLOOKUP(Z14,$B$30:$R$37,14,0)</f>
        <v>7</v>
      </c>
      <c r="AA22" s="22">
        <f t="shared" si="27"/>
        <v>7</v>
      </c>
      <c r="AB22" s="22">
        <f t="shared" si="17"/>
        <v>48</v>
      </c>
      <c r="AC22" s="22">
        <f t="shared" ref="AC22:AI22" si="28">VLOOKUP(AC14,$B$30:$R$37,14,0)</f>
        <v>8</v>
      </c>
      <c r="AD22" s="22">
        <f t="shared" si="28"/>
        <v>0</v>
      </c>
      <c r="AE22" s="22">
        <f t="shared" si="28"/>
        <v>9</v>
      </c>
      <c r="AF22" s="22">
        <f t="shared" si="28"/>
        <v>6.5</v>
      </c>
      <c r="AG22" s="22">
        <f t="shared" si="28"/>
        <v>8</v>
      </c>
      <c r="AH22" s="22">
        <f t="shared" si="28"/>
        <v>0</v>
      </c>
      <c r="AI22" s="22">
        <f t="shared" si="28"/>
        <v>0</v>
      </c>
      <c r="AJ22" s="22">
        <f t="shared" si="20"/>
        <v>31.5</v>
      </c>
      <c r="AK22" s="22">
        <f t="shared" si="21"/>
        <v>6.5</v>
      </c>
      <c r="AL22" s="22">
        <f t="shared" si="21"/>
        <v>1</v>
      </c>
      <c r="AM22" s="76">
        <f t="shared" si="22"/>
        <v>7.5</v>
      </c>
      <c r="AO22" s="172">
        <f>SUM(D22+L22+T22+AB22+AM22+AJ22)</f>
        <v>170</v>
      </c>
      <c r="AP22" s="172"/>
      <c r="AQ22" s="172"/>
      <c r="AR22" s="20"/>
      <c r="AS22" s="77"/>
    </row>
    <row r="23" spans="1:45" ht="23.1" customHeight="1">
      <c r="A23" s="21" t="s">
        <v>19</v>
      </c>
      <c r="B23" s="52">
        <f>SUM(B19:B22)</f>
        <v>16</v>
      </c>
      <c r="C23" s="52">
        <f t="shared" ref="C23:F23" si="29">SUM(C19:C22)</f>
        <v>16</v>
      </c>
      <c r="D23" s="22"/>
      <c r="E23" s="52">
        <f t="shared" si="29"/>
        <v>23.5</v>
      </c>
      <c r="F23" s="52">
        <f t="shared" si="29"/>
        <v>26</v>
      </c>
      <c r="G23" s="52">
        <f>SUM(G19:G22)</f>
        <v>32</v>
      </c>
      <c r="H23" s="52">
        <f>SUM(H19:H22)</f>
        <v>26</v>
      </c>
      <c r="I23" s="52">
        <f t="shared" ref="I23:AM23" si="30">SUM(I19:I22)</f>
        <v>16</v>
      </c>
      <c r="J23" s="52">
        <f t="shared" si="30"/>
        <v>16</v>
      </c>
      <c r="K23" s="52">
        <f t="shared" si="30"/>
        <v>16</v>
      </c>
      <c r="L23" s="22"/>
      <c r="M23" s="52">
        <f t="shared" si="30"/>
        <v>26</v>
      </c>
      <c r="N23" s="52">
        <f t="shared" si="30"/>
        <v>26</v>
      </c>
      <c r="O23" s="52">
        <f t="shared" si="30"/>
        <v>26</v>
      </c>
      <c r="P23" s="52">
        <f t="shared" si="30"/>
        <v>26</v>
      </c>
      <c r="Q23" s="52">
        <f t="shared" si="30"/>
        <v>30</v>
      </c>
      <c r="R23" s="52">
        <f t="shared" si="30"/>
        <v>16</v>
      </c>
      <c r="S23" s="52">
        <f t="shared" si="30"/>
        <v>16</v>
      </c>
      <c r="T23" s="23"/>
      <c r="U23" s="52">
        <f t="shared" si="30"/>
        <v>16</v>
      </c>
      <c r="V23" s="52">
        <f t="shared" si="30"/>
        <v>23.5</v>
      </c>
      <c r="W23" s="52">
        <f t="shared" si="30"/>
        <v>15.5</v>
      </c>
      <c r="X23" s="52">
        <f t="shared" si="30"/>
        <v>34</v>
      </c>
      <c r="Y23" s="52">
        <f t="shared" si="30"/>
        <v>31.5</v>
      </c>
      <c r="Z23" s="52">
        <f t="shared" si="30"/>
        <v>16</v>
      </c>
      <c r="AA23" s="52">
        <f t="shared" si="30"/>
        <v>16</v>
      </c>
      <c r="AB23" s="23"/>
      <c r="AC23" s="52">
        <f t="shared" si="30"/>
        <v>23.5</v>
      </c>
      <c r="AD23" s="52">
        <f t="shared" si="30"/>
        <v>26</v>
      </c>
      <c r="AE23" s="52">
        <f t="shared" si="30"/>
        <v>17</v>
      </c>
      <c r="AF23" s="52">
        <f t="shared" si="30"/>
        <v>23.5</v>
      </c>
      <c r="AG23" s="52">
        <f t="shared" si="30"/>
        <v>23</v>
      </c>
      <c r="AH23" s="52">
        <f t="shared" si="30"/>
        <v>16</v>
      </c>
      <c r="AI23" s="52">
        <f t="shared" si="30"/>
        <v>16</v>
      </c>
      <c r="AJ23" s="23"/>
      <c r="AK23" s="22"/>
      <c r="AL23" s="22"/>
      <c r="AM23" s="52">
        <f t="shared" si="30"/>
        <v>27.5</v>
      </c>
      <c r="AO23" s="172">
        <f>SUM(AO19:AQ22)</f>
        <v>678.5</v>
      </c>
      <c r="AP23" s="172">
        <f>SUM(AN19:ATO22)</f>
        <v>678.5</v>
      </c>
      <c r="AQ23" s="172"/>
      <c r="AR23" s="20"/>
      <c r="AS23" s="20"/>
    </row>
    <row r="24" spans="1:45" ht="15.75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2"/>
      <c r="AM24" s="20"/>
      <c r="AN24" s="20"/>
      <c r="AO24" s="20"/>
      <c r="AP24" s="20"/>
      <c r="AQ24" s="20"/>
      <c r="AR24" s="20"/>
      <c r="AS24" s="20"/>
    </row>
    <row r="25" spans="1:45" ht="1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32"/>
      <c r="AM25" s="20"/>
      <c r="AN25" s="20"/>
      <c r="AO25" s="20"/>
      <c r="AP25" s="20"/>
      <c r="AQ25" s="20"/>
      <c r="AR25" s="20"/>
      <c r="AS25" s="20"/>
    </row>
    <row r="26" spans="1:45" ht="25.5" customHeight="1">
      <c r="A26" s="24"/>
      <c r="B26" s="8" t="s">
        <v>44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32"/>
      <c r="AM26" s="20"/>
      <c r="AN26" s="20"/>
      <c r="AO26" s="20"/>
      <c r="AP26" s="20"/>
      <c r="AQ26" s="20"/>
      <c r="AR26" s="20"/>
      <c r="AS26" s="20"/>
    </row>
    <row r="27" spans="1:45" ht="15.75" customHeight="1" thickBot="1">
      <c r="A27" s="2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2"/>
      <c r="AK27" s="12"/>
      <c r="AL27" s="6"/>
      <c r="AM27" s="6"/>
      <c r="AN27" s="6"/>
      <c r="AO27" s="6"/>
      <c r="AP27" s="6"/>
      <c r="AQ27" s="6"/>
      <c r="AR27" s="6"/>
      <c r="AS27" s="6"/>
    </row>
    <row r="28" spans="1:45" ht="15.75" customHeight="1" thickBot="1">
      <c r="A28" s="20"/>
      <c r="B28" s="92" t="s">
        <v>50</v>
      </c>
      <c r="C28" s="93"/>
      <c r="D28" s="93"/>
      <c r="E28" s="93"/>
      <c r="F28" s="94"/>
      <c r="G28" s="94"/>
      <c r="H28" s="94"/>
      <c r="I28" s="94"/>
      <c r="J28" s="94"/>
      <c r="K28" s="94"/>
      <c r="L28" s="94"/>
      <c r="M28" s="93"/>
      <c r="N28" s="93"/>
      <c r="O28" s="93"/>
      <c r="P28" s="93"/>
      <c r="Q28" s="93"/>
      <c r="R28" s="95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2"/>
      <c r="AK28" s="12"/>
      <c r="AL28" s="6"/>
      <c r="AM28" s="6"/>
      <c r="AN28" s="6"/>
      <c r="AO28" s="6"/>
      <c r="AP28" s="6"/>
      <c r="AQ28" s="6"/>
      <c r="AR28" s="6"/>
      <c r="AS28" s="6"/>
    </row>
    <row r="29" spans="1:45" ht="16.5" customHeight="1" thickBot="1">
      <c r="A29" s="6"/>
      <c r="B29" s="96" t="s">
        <v>46</v>
      </c>
      <c r="C29" s="105"/>
      <c r="D29" s="105"/>
      <c r="E29" s="91"/>
      <c r="F29" s="106" t="s">
        <v>45</v>
      </c>
      <c r="G29" s="106"/>
      <c r="H29" s="107"/>
      <c r="I29" s="108" t="s">
        <v>47</v>
      </c>
      <c r="J29" s="109"/>
      <c r="K29" s="88" t="s">
        <v>48</v>
      </c>
      <c r="L29" s="89"/>
      <c r="M29" s="90" t="s">
        <v>49</v>
      </c>
      <c r="N29" s="91"/>
      <c r="O29" s="96" t="s">
        <v>15</v>
      </c>
      <c r="P29" s="97"/>
      <c r="Q29" s="97"/>
      <c r="R29" s="98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12"/>
      <c r="AK29" s="12"/>
      <c r="AL29" s="6"/>
      <c r="AM29" s="6"/>
      <c r="AN29" s="6"/>
      <c r="AO29" s="14"/>
      <c r="AP29" s="14"/>
      <c r="AQ29" s="14"/>
      <c r="AR29" s="33"/>
      <c r="AS29" s="34"/>
    </row>
    <row r="30" spans="1:45" ht="15.75">
      <c r="A30" s="6"/>
      <c r="B30" s="58" t="s">
        <v>9</v>
      </c>
      <c r="C30" s="102" t="s">
        <v>16</v>
      </c>
      <c r="D30" s="103"/>
      <c r="E30" s="104"/>
      <c r="F30" s="134">
        <v>0.25</v>
      </c>
      <c r="G30" s="134"/>
      <c r="H30" s="135"/>
      <c r="I30" s="136">
        <v>0.5</v>
      </c>
      <c r="J30" s="137"/>
      <c r="K30" s="141">
        <v>0.54166666666666696</v>
      </c>
      <c r="L30" s="135"/>
      <c r="M30" s="141">
        <v>0.66666666666666696</v>
      </c>
      <c r="N30" s="135"/>
      <c r="O30" s="138">
        <v>9</v>
      </c>
      <c r="P30" s="139"/>
      <c r="Q30" s="139"/>
      <c r="R30" s="140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2"/>
      <c r="AK30" s="12"/>
      <c r="AL30" s="6"/>
      <c r="AM30" s="6"/>
      <c r="AN30" s="6"/>
      <c r="AO30" s="14"/>
      <c r="AP30" s="14"/>
      <c r="AQ30" s="14"/>
      <c r="AR30" s="33"/>
      <c r="AS30" s="34"/>
    </row>
    <row r="31" spans="1:45" ht="18" customHeight="1">
      <c r="A31" s="6"/>
      <c r="B31" s="59" t="s">
        <v>11</v>
      </c>
      <c r="C31" s="99" t="s">
        <v>41</v>
      </c>
      <c r="D31" s="100"/>
      <c r="E31" s="101"/>
      <c r="F31" s="87">
        <v>0.25</v>
      </c>
      <c r="G31" s="87"/>
      <c r="H31" s="86"/>
      <c r="I31" s="87">
        <v>0.54166666666666663</v>
      </c>
      <c r="J31" s="86"/>
      <c r="K31" s="41"/>
      <c r="L31" s="42"/>
      <c r="M31" s="41"/>
      <c r="N31" s="42"/>
      <c r="O31" s="116">
        <v>6.5</v>
      </c>
      <c r="P31" s="117"/>
      <c r="Q31" s="117"/>
      <c r="R31" s="118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12"/>
      <c r="AK31" s="12"/>
      <c r="AL31" s="6"/>
      <c r="AM31" s="6"/>
      <c r="AN31" s="6"/>
      <c r="AO31" s="14"/>
      <c r="AP31" s="14"/>
      <c r="AQ31" s="14"/>
      <c r="AR31" s="33"/>
      <c r="AS31" s="34"/>
    </row>
    <row r="32" spans="1:45" ht="15.75" customHeight="1">
      <c r="A32" s="6"/>
      <c r="B32" s="59" t="s">
        <v>23</v>
      </c>
      <c r="C32" s="99" t="s">
        <v>20</v>
      </c>
      <c r="D32" s="100"/>
      <c r="E32" s="101"/>
      <c r="F32" s="87">
        <v>0.58333333333333304</v>
      </c>
      <c r="G32" s="87"/>
      <c r="H32" s="86"/>
      <c r="I32" s="87">
        <v>0.83333333333333304</v>
      </c>
      <c r="J32" s="86"/>
      <c r="K32" s="41"/>
      <c r="L32" s="42"/>
      <c r="M32" s="41"/>
      <c r="N32" s="42"/>
      <c r="O32" s="116">
        <v>6</v>
      </c>
      <c r="P32" s="117"/>
      <c r="Q32" s="117"/>
      <c r="R32" s="118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12"/>
      <c r="AK32" s="12"/>
      <c r="AL32" s="6"/>
      <c r="AM32" s="6"/>
      <c r="AN32" s="6"/>
      <c r="AO32" s="14"/>
      <c r="AP32" s="14"/>
      <c r="AQ32" s="14"/>
      <c r="AR32" s="33"/>
      <c r="AS32" s="34"/>
    </row>
    <row r="33" spans="1:46" ht="15.75" customHeight="1">
      <c r="A33" s="6"/>
      <c r="B33" s="59" t="s">
        <v>25</v>
      </c>
      <c r="C33" s="99" t="s">
        <v>42</v>
      </c>
      <c r="D33" s="100"/>
      <c r="E33" s="101"/>
      <c r="F33" s="87">
        <v>0.66666666666666696</v>
      </c>
      <c r="G33" s="87"/>
      <c r="H33" s="86"/>
      <c r="I33" s="87">
        <v>0.5</v>
      </c>
      <c r="J33" s="86"/>
      <c r="K33" s="41"/>
      <c r="L33" s="42"/>
      <c r="M33" s="41"/>
      <c r="N33" s="42"/>
      <c r="O33" s="116">
        <v>8</v>
      </c>
      <c r="P33" s="117"/>
      <c r="Q33" s="117"/>
      <c r="R33" s="118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12"/>
      <c r="AK33" s="12"/>
      <c r="AL33" s="6"/>
      <c r="AM33" s="6"/>
      <c r="AN33" s="6"/>
      <c r="AO33" s="14"/>
      <c r="AP33" s="14"/>
      <c r="AQ33" s="14"/>
      <c r="AR33" s="33"/>
      <c r="AS33" s="34"/>
    </row>
    <row r="34" spans="1:46" ht="18" customHeight="1">
      <c r="A34" s="6"/>
      <c r="B34" s="59" t="s">
        <v>22</v>
      </c>
      <c r="C34" s="99" t="s">
        <v>26</v>
      </c>
      <c r="D34" s="100"/>
      <c r="E34" s="101"/>
      <c r="F34" s="87">
        <v>0.29166666666666702</v>
      </c>
      <c r="G34" s="87"/>
      <c r="H34" s="86"/>
      <c r="I34" s="87">
        <v>0.5</v>
      </c>
      <c r="J34" s="86"/>
      <c r="K34" s="85">
        <v>0.54166666666666696</v>
      </c>
      <c r="L34" s="86"/>
      <c r="M34" s="85">
        <v>0.625</v>
      </c>
      <c r="N34" s="86"/>
      <c r="O34" s="116">
        <v>7</v>
      </c>
      <c r="P34" s="117"/>
      <c r="Q34" s="117"/>
      <c r="R34" s="118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12"/>
      <c r="AK34" s="12"/>
      <c r="AL34" s="6"/>
      <c r="AM34" s="6"/>
      <c r="AN34" s="6"/>
      <c r="AO34" s="14"/>
      <c r="AP34" s="14"/>
      <c r="AQ34" s="14"/>
      <c r="AR34" s="33"/>
      <c r="AS34" s="34"/>
    </row>
    <row r="35" spans="1:46" ht="16.5" customHeight="1">
      <c r="A35" s="6"/>
      <c r="B35" s="59" t="s">
        <v>21</v>
      </c>
      <c r="C35" s="99" t="s">
        <v>26</v>
      </c>
      <c r="D35" s="100"/>
      <c r="E35" s="101"/>
      <c r="F35" s="87">
        <v>0.625</v>
      </c>
      <c r="G35" s="87"/>
      <c r="H35" s="86"/>
      <c r="I35" s="87">
        <v>0.5</v>
      </c>
      <c r="J35" s="86"/>
      <c r="K35" s="41"/>
      <c r="L35" s="42"/>
      <c r="M35" s="41"/>
      <c r="N35" s="42"/>
      <c r="O35" s="116">
        <v>9</v>
      </c>
      <c r="P35" s="117"/>
      <c r="Q35" s="117"/>
      <c r="R35" s="118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12"/>
      <c r="AK35" s="12"/>
      <c r="AL35" s="6"/>
      <c r="AM35" s="6"/>
      <c r="AN35" s="6"/>
      <c r="AO35" s="14"/>
      <c r="AP35" s="14"/>
      <c r="AQ35" s="14"/>
      <c r="AR35" s="33"/>
      <c r="AS35" s="34"/>
    </row>
    <row r="36" spans="1:46" ht="19.5" customHeight="1" thickBot="1">
      <c r="A36" s="27"/>
      <c r="B36" s="59" t="s">
        <v>10</v>
      </c>
      <c r="C36" s="99" t="s">
        <v>17</v>
      </c>
      <c r="D36" s="100"/>
      <c r="E36" s="101"/>
      <c r="F36" s="87"/>
      <c r="G36" s="87"/>
      <c r="H36" s="86"/>
      <c r="I36" s="87"/>
      <c r="J36" s="86"/>
      <c r="K36" s="41"/>
      <c r="L36" s="42"/>
      <c r="M36" s="41"/>
      <c r="N36" s="42"/>
      <c r="O36" s="116">
        <v>0</v>
      </c>
      <c r="P36" s="117"/>
      <c r="Q36" s="117"/>
      <c r="R36" s="118"/>
      <c r="S36" s="2"/>
      <c r="T36" s="2"/>
      <c r="U36" s="2"/>
      <c r="V36" s="2"/>
      <c r="W36" s="2"/>
      <c r="X36" s="2"/>
      <c r="Y36" s="2"/>
      <c r="Z36" s="2"/>
      <c r="AA36" s="2"/>
      <c r="AB36" s="2"/>
      <c r="AM36" s="6"/>
      <c r="AN36" s="6"/>
      <c r="AO36" s="6"/>
      <c r="AP36" s="6"/>
      <c r="AQ36" s="6"/>
      <c r="AR36" s="6"/>
      <c r="AS36" s="6"/>
    </row>
    <row r="37" spans="1:46" ht="19.5" customHeight="1" thickBot="1">
      <c r="A37" s="27"/>
      <c r="B37" s="60" t="s">
        <v>7</v>
      </c>
      <c r="C37" s="82" t="s">
        <v>43</v>
      </c>
      <c r="D37" s="83"/>
      <c r="E37" s="84"/>
      <c r="F37" s="61"/>
      <c r="G37" s="61"/>
      <c r="H37" s="62"/>
      <c r="I37" s="61"/>
      <c r="J37" s="61"/>
      <c r="K37" s="60"/>
      <c r="L37" s="62"/>
      <c r="M37" s="60"/>
      <c r="N37" s="62"/>
      <c r="O37" s="82">
        <v>1</v>
      </c>
      <c r="P37" s="83"/>
      <c r="Q37" s="83"/>
      <c r="R37" s="84"/>
      <c r="S37" s="4"/>
      <c r="T37" s="5"/>
      <c r="U37" s="5"/>
      <c r="V37" s="5"/>
      <c r="W37" s="5"/>
      <c r="X37" s="5"/>
      <c r="Y37" s="5"/>
      <c r="Z37" s="5"/>
      <c r="AA37" s="5"/>
      <c r="AB37" s="5"/>
      <c r="AC37" s="2"/>
      <c r="AD37" s="2"/>
      <c r="AE37" s="2"/>
      <c r="AF37" s="2"/>
      <c r="AG37" s="2"/>
      <c r="AH37" s="2"/>
      <c r="AI37" s="2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6" ht="19.5" customHeight="1">
      <c r="A38" s="27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6" ht="19.5" customHeight="1"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2"/>
      <c r="AD39" s="2"/>
      <c r="AE39" s="2"/>
      <c r="AF39" s="2"/>
      <c r="AG39" s="2"/>
      <c r="AH39" s="2"/>
      <c r="AI39" s="2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6" ht="19.5" customHeight="1">
      <c r="B40" s="2"/>
      <c r="C40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9"/>
      <c r="O40"/>
      <c r="P40"/>
      <c r="R40" s="4"/>
      <c r="S40" s="28"/>
      <c r="T40" s="28"/>
      <c r="U40" s="28"/>
      <c r="V40" s="28"/>
      <c r="W40" s="28"/>
      <c r="X40" s="28"/>
      <c r="Y40" s="28"/>
      <c r="Z40" s="28"/>
      <c r="AA40" s="28"/>
      <c r="AB40" s="28"/>
      <c r="AD40" s="2"/>
      <c r="AE40" s="2"/>
      <c r="AF40" s="2"/>
      <c r="AG40" s="2"/>
      <c r="AH40" s="2"/>
      <c r="AI40" s="28"/>
      <c r="AJ40" s="28"/>
      <c r="AK40" s="28"/>
      <c r="AL40" s="28"/>
      <c r="AM40" s="28"/>
      <c r="AN40" s="28"/>
      <c r="AO40" s="28"/>
      <c r="AP40" s="6"/>
      <c r="AQ40" s="6"/>
      <c r="AR40" s="6"/>
      <c r="AS40" s="33"/>
      <c r="AT40" s="34"/>
    </row>
    <row r="41" spans="1:46" ht="19.5" customHeight="1">
      <c r="B41" s="2"/>
      <c r="C4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9"/>
      <c r="O41"/>
      <c r="P41"/>
      <c r="R41" s="4"/>
      <c r="S41" s="28"/>
      <c r="T41" s="28"/>
      <c r="U41" s="28"/>
      <c r="V41" s="28"/>
      <c r="W41" s="28"/>
      <c r="X41" s="28"/>
      <c r="Y41" s="28"/>
      <c r="Z41" s="28"/>
      <c r="AA41" s="28"/>
      <c r="AB41" s="28"/>
      <c r="AD41" s="2"/>
      <c r="AE41" s="2"/>
      <c r="AF41" s="2"/>
      <c r="AG41" s="2"/>
      <c r="AH41" s="2"/>
      <c r="AI41" s="28"/>
      <c r="AJ41" s="28"/>
      <c r="AK41" s="28"/>
      <c r="AL41" s="28"/>
      <c r="AM41" s="28"/>
      <c r="AN41" s="28"/>
      <c r="AO41" s="28"/>
      <c r="AP41" s="6"/>
      <c r="AQ41" s="6"/>
      <c r="AR41" s="6"/>
      <c r="AS41" s="33"/>
      <c r="AT41" s="34"/>
    </row>
    <row r="42" spans="1:46" ht="19.5" customHeight="1">
      <c r="B42" s="2"/>
      <c r="C42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9"/>
      <c r="O42"/>
      <c r="P42"/>
      <c r="R42" s="4"/>
      <c r="S42" s="28"/>
      <c r="T42" s="28"/>
      <c r="U42" s="28"/>
      <c r="V42" s="28"/>
      <c r="W42" s="28"/>
      <c r="X42" s="28"/>
      <c r="Y42" s="28"/>
      <c r="Z42" s="28"/>
      <c r="AA42" s="28"/>
      <c r="AB42" s="28"/>
      <c r="AD42" s="2"/>
      <c r="AE42" s="2"/>
      <c r="AF42" s="2"/>
      <c r="AG42" s="2"/>
      <c r="AH42" s="2"/>
      <c r="AI42" s="28"/>
      <c r="AJ42" s="28"/>
      <c r="AK42" s="28"/>
      <c r="AL42" s="28"/>
      <c r="AM42" s="28"/>
      <c r="AN42" s="28"/>
      <c r="AO42" s="28"/>
      <c r="AP42" s="6"/>
      <c r="AQ42" s="6"/>
      <c r="AR42" s="6"/>
      <c r="AS42" s="33"/>
      <c r="AT42" s="34"/>
    </row>
    <row r="43" spans="1:46" ht="19.5" customHeight="1">
      <c r="B43" s="2"/>
      <c r="C43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9"/>
      <c r="O43"/>
      <c r="P43"/>
      <c r="R43" s="4"/>
      <c r="S43" s="28"/>
      <c r="T43" s="28"/>
      <c r="U43" s="28"/>
      <c r="V43" s="28"/>
      <c r="W43" s="28"/>
      <c r="X43" s="28"/>
      <c r="Y43" s="28"/>
      <c r="Z43" s="28"/>
      <c r="AA43" s="28"/>
      <c r="AB43" s="28"/>
      <c r="AD43" s="2"/>
      <c r="AE43" s="2"/>
      <c r="AF43" s="2"/>
      <c r="AG43" s="2"/>
      <c r="AH43" s="2"/>
      <c r="AI43" s="28"/>
      <c r="AJ43" s="28"/>
      <c r="AK43" s="28"/>
      <c r="AL43" s="28"/>
      <c r="AM43" s="28"/>
      <c r="AN43" s="28"/>
      <c r="AO43" s="28"/>
      <c r="AP43" s="6"/>
      <c r="AQ43" s="6"/>
      <c r="AR43" s="6"/>
      <c r="AS43" s="33"/>
      <c r="AT43" s="34"/>
    </row>
    <row r="44" spans="1:46" ht="19.5" customHeight="1">
      <c r="B44" s="2"/>
      <c r="C4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"/>
      <c r="O44"/>
      <c r="P44"/>
      <c r="R44" s="4"/>
      <c r="S44" s="10"/>
      <c r="T44" s="10"/>
      <c r="U44" s="10"/>
      <c r="V44" s="10"/>
      <c r="W44" s="10"/>
      <c r="X44" s="10"/>
      <c r="Y44" s="10"/>
      <c r="Z44" s="10"/>
      <c r="AA44" s="10"/>
      <c r="AB44" s="10"/>
      <c r="AD44" s="2"/>
      <c r="AE44" s="2"/>
      <c r="AF44" s="2"/>
      <c r="AG44" s="2"/>
      <c r="AH44" s="2"/>
      <c r="AI44" s="10"/>
      <c r="AJ44" s="10"/>
      <c r="AK44" s="10"/>
      <c r="AL44" s="10"/>
      <c r="AM44" s="10"/>
      <c r="AN44" s="10"/>
      <c r="AO44" s="10"/>
      <c r="AP44" s="6"/>
      <c r="AQ44" s="6"/>
      <c r="AR44" s="6"/>
      <c r="AS44" s="33"/>
      <c r="AT44" s="34"/>
    </row>
    <row r="45" spans="1:46" ht="19.5" customHeight="1">
      <c r="B45" s="115" t="s">
        <v>29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R45" s="4"/>
      <c r="S45" s="110" t="s">
        <v>30</v>
      </c>
      <c r="T45" s="110"/>
      <c r="U45" s="110"/>
      <c r="V45" s="110"/>
      <c r="W45" s="110"/>
      <c r="X45" s="110"/>
      <c r="Y45" s="110"/>
      <c r="Z45" s="110"/>
      <c r="AA45" s="110"/>
      <c r="AB45" s="110"/>
      <c r="AC45" s="1"/>
      <c r="AD45" s="1"/>
      <c r="AE45" s="2"/>
      <c r="AF45" s="6"/>
      <c r="AG45" s="6"/>
      <c r="AH45" s="111" t="s">
        <v>18</v>
      </c>
      <c r="AI45" s="111"/>
      <c r="AJ45" s="111"/>
      <c r="AK45" s="111"/>
      <c r="AL45" s="111"/>
      <c r="AM45" s="111"/>
      <c r="AN45" s="111"/>
      <c r="AO45" s="111"/>
      <c r="AP45" s="6"/>
      <c r="AQ45" s="6"/>
      <c r="AR45" s="6"/>
    </row>
    <row r="46" spans="1:46" ht="15.75" customHeight="1">
      <c r="B46" s="8"/>
      <c r="C46" s="112" t="s">
        <v>31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"/>
      <c r="R46" s="4"/>
      <c r="S46" s="113" t="s">
        <v>32</v>
      </c>
      <c r="T46" s="113"/>
      <c r="U46" s="113"/>
      <c r="V46" s="113"/>
      <c r="W46" s="113"/>
      <c r="X46" s="113"/>
      <c r="Y46" s="113"/>
      <c r="Z46" s="113"/>
      <c r="AA46" s="113"/>
      <c r="AB46" s="113"/>
      <c r="AC46" s="4"/>
      <c r="AD46" s="4"/>
      <c r="AE46" s="4"/>
      <c r="AF46" s="8"/>
      <c r="AG46" s="8"/>
      <c r="AH46" s="114" t="s">
        <v>33</v>
      </c>
      <c r="AI46" s="114"/>
      <c r="AJ46" s="114"/>
      <c r="AK46" s="114"/>
      <c r="AL46" s="114"/>
      <c r="AM46" s="114"/>
      <c r="AN46" s="114"/>
      <c r="AO46" s="114"/>
      <c r="AP46" s="114"/>
      <c r="AQ46" s="6"/>
      <c r="AR46" s="6"/>
      <c r="AS46" s="35"/>
    </row>
    <row r="47" spans="1:46" ht="15.75" customHeight="1">
      <c r="A47" s="8"/>
      <c r="B47" s="8"/>
      <c r="C47" s="8"/>
      <c r="D47" s="8"/>
      <c r="E47" s="8"/>
      <c r="F47" s="8"/>
      <c r="G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12"/>
      <c r="AK47" s="12"/>
      <c r="AL47" s="6"/>
      <c r="AM47" s="6"/>
      <c r="AN47" s="6"/>
      <c r="AO47" s="6"/>
      <c r="AP47" s="6"/>
      <c r="AQ47" s="6"/>
      <c r="AR47" s="6"/>
      <c r="AS47" s="6"/>
    </row>
    <row r="48" spans="1:4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2"/>
      <c r="AK48" s="12"/>
      <c r="AL48" s="6"/>
      <c r="AM48" s="6"/>
      <c r="AN48" s="6"/>
      <c r="AO48" s="6"/>
      <c r="AP48" s="6"/>
      <c r="AQ48" s="6"/>
      <c r="AR48" s="6"/>
      <c r="AS48" s="6"/>
    </row>
    <row r="49" spans="1:45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12"/>
      <c r="AK49" s="12"/>
      <c r="AL49" s="6"/>
      <c r="AM49" s="6"/>
      <c r="AN49" s="6"/>
      <c r="AO49" s="6"/>
      <c r="AP49" s="6"/>
      <c r="AQ49" s="6"/>
      <c r="AR49" s="6"/>
      <c r="AS49" s="6"/>
    </row>
    <row r="50" spans="1:45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12"/>
      <c r="AK50" s="12"/>
      <c r="AL50" s="6"/>
      <c r="AM50" s="6"/>
      <c r="AN50" s="6"/>
      <c r="AO50" s="6"/>
      <c r="AP50" s="6"/>
      <c r="AQ50" s="6"/>
      <c r="AR50" s="6"/>
      <c r="AS50" s="6"/>
    </row>
    <row r="51" spans="1:45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2"/>
      <c r="AK51" s="12"/>
      <c r="AL51" s="6"/>
      <c r="AM51" s="6"/>
      <c r="AN51" s="6"/>
      <c r="AO51" s="6"/>
      <c r="AP51" s="6"/>
      <c r="AQ51" s="6"/>
      <c r="AR51" s="6"/>
      <c r="AS51" s="6"/>
    </row>
    <row r="52" spans="1:45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2"/>
      <c r="AK52" s="12"/>
      <c r="AL52" s="6"/>
      <c r="AM52" s="6"/>
      <c r="AN52" s="6"/>
      <c r="AO52" s="6"/>
      <c r="AP52" s="6"/>
      <c r="AQ52" s="6"/>
      <c r="AR52" s="6"/>
      <c r="AS52" s="6"/>
    </row>
    <row r="53" spans="1:45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2"/>
      <c r="AK53" s="12"/>
      <c r="AL53" s="6"/>
      <c r="AM53" s="6"/>
      <c r="AN53" s="6"/>
      <c r="AO53" s="6"/>
      <c r="AP53" s="6"/>
      <c r="AQ53" s="6"/>
      <c r="AR53" s="6"/>
      <c r="AS53" s="6"/>
    </row>
    <row r="54" spans="1:45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2"/>
      <c r="AK54" s="12"/>
      <c r="AL54" s="6"/>
      <c r="AM54" s="6"/>
      <c r="AN54" s="6"/>
      <c r="AO54" s="6"/>
      <c r="AP54" s="6"/>
      <c r="AQ54" s="6"/>
      <c r="AR54" s="6"/>
      <c r="AS54" s="6"/>
    </row>
    <row r="55" spans="1:4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2"/>
      <c r="AK55" s="12"/>
      <c r="AL55" s="6"/>
      <c r="AM55" s="6"/>
      <c r="AN55" s="6"/>
      <c r="AO55" s="6"/>
      <c r="AP55" s="6"/>
      <c r="AQ55" s="6"/>
      <c r="AR55" s="6"/>
      <c r="AS55" s="6"/>
    </row>
    <row r="56" spans="1:45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2"/>
      <c r="AK56" s="12"/>
      <c r="AL56" s="6"/>
      <c r="AM56" s="6"/>
      <c r="AN56" s="6"/>
      <c r="AO56" s="6"/>
      <c r="AP56" s="6"/>
      <c r="AQ56" s="6"/>
      <c r="AR56" s="6"/>
      <c r="AS56" s="6"/>
    </row>
    <row r="57" spans="1:45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2"/>
      <c r="AK57" s="12"/>
      <c r="AL57" s="6"/>
      <c r="AM57" s="6"/>
      <c r="AN57" s="6"/>
      <c r="AO57" s="6"/>
      <c r="AP57" s="6"/>
      <c r="AQ57" s="6"/>
      <c r="AR57" s="6"/>
      <c r="AS57" s="6"/>
    </row>
    <row r="58" spans="1:45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2"/>
      <c r="AK58" s="12"/>
      <c r="AL58" s="6"/>
      <c r="AM58" s="6"/>
      <c r="AN58" s="6"/>
      <c r="AO58" s="6"/>
      <c r="AP58" s="6"/>
      <c r="AQ58" s="6"/>
      <c r="AR58" s="6"/>
      <c r="AS58" s="6"/>
    </row>
    <row r="59" spans="1:45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2"/>
      <c r="AK59" s="12"/>
      <c r="AL59" s="6"/>
      <c r="AM59" s="6"/>
      <c r="AN59" s="6"/>
      <c r="AO59" s="6"/>
      <c r="AP59" s="6"/>
      <c r="AQ59" s="6"/>
      <c r="AR59" s="6"/>
      <c r="AS59" s="6"/>
    </row>
    <row r="60" spans="1:45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12"/>
      <c r="AK60" s="12"/>
      <c r="AL60" s="6"/>
      <c r="AM60" s="6"/>
      <c r="AN60" s="6"/>
      <c r="AO60" s="6"/>
      <c r="AP60" s="6"/>
      <c r="AQ60" s="6"/>
      <c r="AR60" s="6"/>
      <c r="AS60" s="6"/>
    </row>
    <row r="61" spans="1:45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2"/>
      <c r="AK61" s="12"/>
      <c r="AL61" s="6"/>
      <c r="AM61" s="6"/>
      <c r="AN61" s="6"/>
      <c r="AO61" s="6"/>
      <c r="AP61" s="6"/>
      <c r="AQ61" s="6"/>
      <c r="AR61" s="6"/>
      <c r="AS61" s="6"/>
    </row>
    <row r="62" spans="1:45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12"/>
      <c r="AK62" s="12"/>
      <c r="AL62" s="6"/>
      <c r="AM62" s="6"/>
      <c r="AN62" s="6"/>
      <c r="AO62" s="6"/>
      <c r="AP62" s="6"/>
      <c r="AQ62" s="6"/>
      <c r="AR62" s="6"/>
      <c r="AS62" s="6"/>
    </row>
    <row r="63" spans="1:45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2"/>
      <c r="AK63" s="12"/>
      <c r="AL63" s="6"/>
      <c r="AM63" s="6"/>
      <c r="AN63" s="6"/>
      <c r="AO63" s="6"/>
      <c r="AP63" s="6"/>
      <c r="AQ63" s="6"/>
      <c r="AR63" s="6"/>
      <c r="AS63" s="6"/>
    </row>
    <row r="64" spans="1:45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12"/>
      <c r="AK64" s="12"/>
      <c r="AL64" s="6"/>
      <c r="AM64" s="6"/>
      <c r="AN64" s="6"/>
      <c r="AO64" s="6"/>
      <c r="AP64" s="6"/>
      <c r="AQ64" s="6"/>
      <c r="AR64" s="6"/>
      <c r="AS64" s="6"/>
    </row>
    <row r="65" spans="1:4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12"/>
      <c r="AK65" s="12"/>
      <c r="AL65" s="6"/>
      <c r="AM65" s="6"/>
      <c r="AN65" s="6"/>
      <c r="AO65" s="6"/>
      <c r="AP65" s="6"/>
      <c r="AQ65" s="6"/>
      <c r="AR65" s="6"/>
      <c r="AS65" s="6"/>
    </row>
    <row r="66" spans="1:45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12"/>
      <c r="AK66" s="12"/>
      <c r="AL66" s="6"/>
      <c r="AM66" s="6"/>
      <c r="AN66" s="6"/>
      <c r="AO66" s="6"/>
      <c r="AP66" s="6"/>
      <c r="AQ66" s="6"/>
      <c r="AR66" s="6"/>
      <c r="AS66" s="6"/>
    </row>
    <row r="67" spans="1:45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12"/>
      <c r="AK67" s="12"/>
      <c r="AL67" s="6"/>
      <c r="AM67" s="6"/>
      <c r="AN67" s="6"/>
      <c r="AO67" s="6"/>
      <c r="AP67" s="6"/>
      <c r="AQ67" s="6"/>
      <c r="AR67" s="6"/>
      <c r="AS67" s="6"/>
    </row>
    <row r="68" spans="1:45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12"/>
      <c r="AK68" s="12"/>
      <c r="AL68" s="6"/>
      <c r="AM68" s="6"/>
      <c r="AN68" s="6"/>
      <c r="AO68" s="6"/>
      <c r="AP68" s="6"/>
      <c r="AQ68" s="6"/>
      <c r="AR68" s="6"/>
      <c r="AS68" s="6"/>
    </row>
    <row r="69" spans="1:45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2"/>
      <c r="AK69" s="12"/>
      <c r="AL69" s="6"/>
      <c r="AM69" s="6"/>
      <c r="AN69" s="6"/>
      <c r="AO69" s="6"/>
      <c r="AP69" s="6"/>
      <c r="AQ69" s="6"/>
      <c r="AR69" s="6"/>
      <c r="AS69" s="6"/>
    </row>
    <row r="70" spans="1:45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12"/>
      <c r="AK70" s="12"/>
      <c r="AL70" s="6"/>
      <c r="AM70" s="6"/>
      <c r="AN70" s="6"/>
      <c r="AO70" s="6"/>
      <c r="AP70" s="6"/>
      <c r="AQ70" s="6"/>
      <c r="AR70" s="6"/>
      <c r="AS70" s="6"/>
    </row>
    <row r="71" spans="1:45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12"/>
      <c r="AK71" s="12"/>
      <c r="AL71" s="6"/>
      <c r="AM71" s="6"/>
      <c r="AN71" s="6"/>
      <c r="AO71" s="6"/>
      <c r="AP71" s="6"/>
      <c r="AQ71" s="6"/>
      <c r="AR71" s="6"/>
      <c r="AS71" s="6"/>
    </row>
    <row r="72" spans="1:45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12"/>
      <c r="AK72" s="12"/>
      <c r="AL72" s="6"/>
      <c r="AM72" s="6"/>
      <c r="AN72" s="6"/>
      <c r="AO72" s="6"/>
      <c r="AP72" s="6"/>
      <c r="AQ72" s="6"/>
      <c r="AR72" s="6"/>
      <c r="AS72" s="6"/>
    </row>
    <row r="73" spans="1:45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12"/>
      <c r="AK73" s="12"/>
      <c r="AL73" s="6"/>
      <c r="AM73" s="6"/>
      <c r="AN73" s="6"/>
      <c r="AO73" s="6"/>
      <c r="AP73" s="6"/>
      <c r="AQ73" s="6"/>
      <c r="AR73" s="6"/>
      <c r="AS73" s="6"/>
    </row>
    <row r="74" spans="1:45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12"/>
      <c r="AK74" s="12"/>
      <c r="AL74" s="6"/>
      <c r="AM74" s="6"/>
      <c r="AN74" s="6"/>
      <c r="AO74" s="6"/>
      <c r="AP74" s="6"/>
      <c r="AQ74" s="6"/>
      <c r="AR74" s="6"/>
      <c r="AS74" s="6"/>
    </row>
    <row r="75" spans="1:4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12"/>
      <c r="AK75" s="12"/>
      <c r="AL75" s="6"/>
      <c r="AM75" s="6"/>
      <c r="AN75" s="6"/>
      <c r="AO75" s="6"/>
      <c r="AP75" s="6"/>
      <c r="AQ75" s="6"/>
      <c r="AR75" s="6"/>
      <c r="AS75" s="6"/>
    </row>
    <row r="76" spans="1:45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12"/>
      <c r="AK76" s="12"/>
      <c r="AL76" s="6"/>
      <c r="AM76" s="6"/>
      <c r="AN76" s="6"/>
      <c r="AO76" s="6"/>
      <c r="AP76" s="6"/>
      <c r="AQ76" s="6"/>
      <c r="AR76" s="6"/>
      <c r="AS76" s="6"/>
    </row>
    <row r="77" spans="1:45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12"/>
      <c r="AK77" s="12"/>
      <c r="AL77" s="6"/>
      <c r="AM77" s="6"/>
      <c r="AN77" s="6"/>
      <c r="AO77" s="6"/>
      <c r="AP77" s="6"/>
      <c r="AQ77" s="6"/>
      <c r="AR77" s="6"/>
      <c r="AS77" s="6"/>
    </row>
    <row r="78" spans="1:45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12"/>
      <c r="AK78" s="12"/>
      <c r="AL78" s="6"/>
      <c r="AM78" s="6"/>
      <c r="AN78" s="6"/>
      <c r="AO78" s="6"/>
      <c r="AP78" s="6"/>
      <c r="AQ78" s="6"/>
      <c r="AR78" s="6"/>
      <c r="AS78" s="6"/>
    </row>
    <row r="79" spans="1:45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12"/>
      <c r="AK79" s="12"/>
      <c r="AL79" s="6"/>
      <c r="AM79" s="6"/>
      <c r="AN79" s="6"/>
      <c r="AO79" s="6"/>
      <c r="AP79" s="6"/>
      <c r="AQ79" s="6"/>
      <c r="AR79" s="6"/>
      <c r="AS79" s="6"/>
    </row>
    <row r="80" spans="1:45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12"/>
      <c r="AK80" s="12"/>
      <c r="AL80" s="6"/>
      <c r="AM80" s="6"/>
      <c r="AN80" s="6"/>
      <c r="AO80" s="6"/>
      <c r="AP80" s="6"/>
      <c r="AQ80" s="6"/>
      <c r="AR80" s="6"/>
      <c r="AS80" s="6"/>
    </row>
    <row r="81" spans="1:45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2"/>
      <c r="AK81" s="12"/>
      <c r="AL81" s="6"/>
      <c r="AM81" s="6"/>
      <c r="AN81" s="6"/>
      <c r="AO81" s="6"/>
      <c r="AP81" s="6"/>
      <c r="AQ81" s="6"/>
      <c r="AR81" s="6"/>
      <c r="AS81" s="6"/>
    </row>
    <row r="82" spans="1:45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12"/>
      <c r="AK82" s="12"/>
      <c r="AL82" s="6"/>
      <c r="AM82" s="6"/>
      <c r="AN82" s="6"/>
      <c r="AO82" s="6"/>
      <c r="AP82" s="6"/>
      <c r="AQ82" s="6"/>
      <c r="AR82" s="6"/>
      <c r="AS82" s="6"/>
    </row>
    <row r="83" spans="1:45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12"/>
      <c r="AK83" s="12"/>
      <c r="AL83" s="6"/>
      <c r="AM83" s="6"/>
      <c r="AN83" s="6"/>
      <c r="AO83" s="6"/>
      <c r="AP83" s="6"/>
      <c r="AQ83" s="6"/>
      <c r="AR83" s="6"/>
      <c r="AS83" s="6"/>
    </row>
    <row r="84" spans="1:45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12"/>
      <c r="AK84" s="12"/>
      <c r="AL84" s="6"/>
      <c r="AM84" s="6"/>
      <c r="AN84" s="6"/>
      <c r="AO84" s="6"/>
      <c r="AP84" s="6"/>
      <c r="AQ84" s="6"/>
      <c r="AR84" s="6"/>
      <c r="AS84" s="6"/>
    </row>
    <row r="85" spans="1:4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2"/>
      <c r="AK85" s="12"/>
      <c r="AL85" s="6"/>
      <c r="AM85" s="6"/>
      <c r="AN85" s="6"/>
      <c r="AO85" s="6"/>
      <c r="AP85" s="6"/>
      <c r="AQ85" s="6"/>
      <c r="AR85" s="6"/>
      <c r="AS85" s="6"/>
    </row>
    <row r="86" spans="1:45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12"/>
      <c r="AK86" s="12"/>
      <c r="AL86" s="6"/>
      <c r="AM86" s="6"/>
      <c r="AN86" s="6"/>
      <c r="AO86" s="6"/>
      <c r="AP86" s="6"/>
      <c r="AQ86" s="6"/>
      <c r="AR86" s="6"/>
      <c r="AS86" s="6"/>
    </row>
    <row r="87" spans="1:45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12"/>
      <c r="AK87" s="12"/>
      <c r="AL87" s="6"/>
      <c r="AM87" s="6"/>
      <c r="AN87" s="6"/>
      <c r="AO87" s="6"/>
      <c r="AP87" s="6"/>
      <c r="AQ87" s="6"/>
      <c r="AR87" s="6"/>
      <c r="AS87" s="6"/>
    </row>
    <row r="88" spans="1:45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12"/>
      <c r="AK88" s="12"/>
      <c r="AL88" s="6"/>
      <c r="AM88" s="6"/>
      <c r="AN88" s="6"/>
      <c r="AO88" s="6"/>
      <c r="AP88" s="6"/>
      <c r="AQ88" s="6"/>
      <c r="AR88" s="6"/>
      <c r="AS88" s="6"/>
    </row>
    <row r="89" spans="1:45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12"/>
      <c r="AK89" s="12"/>
      <c r="AL89" s="6"/>
      <c r="AM89" s="6"/>
      <c r="AN89" s="6"/>
      <c r="AO89" s="6"/>
      <c r="AP89" s="6"/>
      <c r="AQ89" s="6"/>
      <c r="AR89" s="6"/>
      <c r="AS89" s="6"/>
    </row>
    <row r="90" spans="1:45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12"/>
      <c r="AK90" s="12"/>
      <c r="AL90" s="6"/>
      <c r="AM90" s="6"/>
      <c r="AN90" s="6"/>
      <c r="AO90" s="6"/>
      <c r="AP90" s="6"/>
      <c r="AQ90" s="6"/>
      <c r="AR90" s="6"/>
      <c r="AS90" s="6"/>
    </row>
    <row r="91" spans="1:45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12"/>
      <c r="AK91" s="12"/>
      <c r="AL91" s="6"/>
      <c r="AM91" s="6"/>
      <c r="AN91" s="6"/>
      <c r="AO91" s="6"/>
      <c r="AP91" s="6"/>
      <c r="AQ91" s="6"/>
      <c r="AR91" s="6"/>
      <c r="AS91" s="6"/>
    </row>
    <row r="92" spans="1:45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12"/>
      <c r="AK92" s="12"/>
      <c r="AL92" s="6"/>
      <c r="AM92" s="6"/>
      <c r="AN92" s="6"/>
      <c r="AO92" s="6"/>
      <c r="AP92" s="6"/>
      <c r="AQ92" s="6"/>
      <c r="AR92" s="6"/>
      <c r="AS92" s="6"/>
    </row>
    <row r="93" spans="1:45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12"/>
      <c r="AK93" s="12"/>
      <c r="AL93" s="6"/>
      <c r="AM93" s="6"/>
      <c r="AN93" s="6"/>
      <c r="AO93" s="6"/>
      <c r="AP93" s="6"/>
      <c r="AQ93" s="6"/>
      <c r="AR93" s="6"/>
      <c r="AS93" s="6"/>
    </row>
    <row r="94" spans="1:45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12"/>
      <c r="AK94" s="12"/>
      <c r="AL94" s="6"/>
      <c r="AM94" s="6"/>
      <c r="AN94" s="6"/>
      <c r="AO94" s="6"/>
      <c r="AP94" s="6"/>
      <c r="AQ94" s="6"/>
      <c r="AR94" s="6"/>
      <c r="AS94" s="6"/>
    </row>
    <row r="95" spans="1:4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12"/>
      <c r="AK95" s="12"/>
      <c r="AL95" s="6"/>
      <c r="AM95" s="6"/>
      <c r="AN95" s="6"/>
      <c r="AO95" s="6"/>
      <c r="AP95" s="6"/>
      <c r="AQ95" s="6"/>
      <c r="AR95" s="6"/>
      <c r="AS95" s="6"/>
    </row>
    <row r="96" spans="1:45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2"/>
      <c r="AK96" s="12"/>
      <c r="AL96" s="6"/>
      <c r="AM96" s="6"/>
      <c r="AN96" s="6"/>
      <c r="AO96" s="6"/>
      <c r="AP96" s="6"/>
      <c r="AQ96" s="6"/>
      <c r="AR96" s="6"/>
      <c r="AS96" s="6"/>
    </row>
    <row r="97" spans="1:45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12"/>
      <c r="AK97" s="12"/>
      <c r="AL97" s="6"/>
      <c r="AM97" s="6"/>
      <c r="AN97" s="6"/>
      <c r="AO97" s="6"/>
      <c r="AP97" s="6"/>
      <c r="AQ97" s="6"/>
      <c r="AR97" s="6"/>
      <c r="AS97" s="6"/>
    </row>
    <row r="98" spans="1:45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12"/>
      <c r="AK98" s="12"/>
      <c r="AL98" s="6"/>
      <c r="AM98" s="6"/>
      <c r="AN98" s="6"/>
      <c r="AO98" s="6"/>
      <c r="AP98" s="6"/>
      <c r="AQ98" s="6"/>
      <c r="AR98" s="6"/>
      <c r="AS98" s="6"/>
    </row>
    <row r="99" spans="1:45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12"/>
      <c r="AK99" s="12"/>
      <c r="AL99" s="6"/>
      <c r="AM99" s="6"/>
      <c r="AN99" s="6"/>
      <c r="AO99" s="6"/>
      <c r="AP99" s="6"/>
      <c r="AQ99" s="6"/>
      <c r="AR99" s="6"/>
      <c r="AS99" s="6"/>
    </row>
    <row r="100" spans="1:45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12"/>
      <c r="AK100" s="12"/>
      <c r="AL100" s="6"/>
      <c r="AM100" s="6"/>
      <c r="AN100" s="6"/>
      <c r="AO100" s="6"/>
      <c r="AP100" s="6"/>
      <c r="AQ100" s="6"/>
      <c r="AR100" s="6"/>
      <c r="AS100" s="6"/>
    </row>
    <row r="101" spans="1:45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2"/>
      <c r="AK101" s="12"/>
      <c r="AL101" s="6"/>
      <c r="AM101" s="6"/>
      <c r="AN101" s="6"/>
      <c r="AO101" s="6"/>
      <c r="AP101" s="6"/>
      <c r="AQ101" s="6"/>
      <c r="AR101" s="6"/>
      <c r="AS101" s="6"/>
    </row>
    <row r="102" spans="1:45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12"/>
      <c r="AK102" s="12"/>
      <c r="AL102" s="6"/>
      <c r="AM102" s="6"/>
      <c r="AN102" s="6"/>
      <c r="AO102" s="6"/>
      <c r="AP102" s="6"/>
      <c r="AQ102" s="6"/>
      <c r="AR102" s="6"/>
      <c r="AS102" s="6"/>
    </row>
    <row r="103" spans="1:45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12"/>
      <c r="AK103" s="12"/>
      <c r="AL103" s="6"/>
      <c r="AM103" s="6"/>
      <c r="AN103" s="6"/>
      <c r="AO103" s="6"/>
      <c r="AP103" s="6"/>
      <c r="AQ103" s="6"/>
      <c r="AR103" s="6"/>
      <c r="AS103" s="6"/>
    </row>
    <row r="104" spans="1:45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12"/>
      <c r="AK104" s="12"/>
      <c r="AL104" s="6"/>
      <c r="AM104" s="6"/>
      <c r="AN104" s="6"/>
      <c r="AO104" s="6"/>
      <c r="AP104" s="6"/>
      <c r="AQ104" s="6"/>
      <c r="AR104" s="6"/>
      <c r="AS104" s="6"/>
    </row>
    <row r="105" spans="1:4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12"/>
      <c r="AK105" s="12"/>
      <c r="AL105" s="6"/>
      <c r="AM105" s="6"/>
      <c r="AN105" s="6"/>
      <c r="AO105" s="6"/>
      <c r="AP105" s="6"/>
      <c r="AQ105" s="6"/>
      <c r="AR105" s="6"/>
      <c r="AS105" s="6"/>
    </row>
    <row r="106" spans="1:45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12"/>
      <c r="AK106" s="12"/>
      <c r="AL106" s="6"/>
      <c r="AM106" s="6"/>
      <c r="AN106" s="6"/>
      <c r="AO106" s="6"/>
      <c r="AP106" s="6"/>
      <c r="AQ106" s="6"/>
      <c r="AR106" s="6"/>
      <c r="AS106" s="6"/>
    </row>
    <row r="107" spans="1:45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12"/>
      <c r="AK107" s="12"/>
      <c r="AL107" s="6"/>
      <c r="AM107" s="6"/>
      <c r="AN107" s="6"/>
      <c r="AO107" s="6"/>
      <c r="AP107" s="6"/>
      <c r="AQ107" s="6"/>
      <c r="AR107" s="6"/>
      <c r="AS107" s="6"/>
    </row>
    <row r="108" spans="1:45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12"/>
      <c r="AK108" s="12"/>
      <c r="AL108" s="6"/>
      <c r="AM108" s="6"/>
      <c r="AN108" s="6"/>
      <c r="AO108" s="6"/>
      <c r="AP108" s="6"/>
      <c r="AQ108" s="6"/>
      <c r="AR108" s="6"/>
      <c r="AS108" s="6"/>
    </row>
    <row r="109" spans="1:45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12"/>
      <c r="AK109" s="12"/>
      <c r="AL109" s="6"/>
      <c r="AM109" s="6"/>
      <c r="AN109" s="6"/>
      <c r="AO109" s="6"/>
      <c r="AP109" s="6"/>
      <c r="AQ109" s="6"/>
      <c r="AR109" s="6"/>
      <c r="AS109" s="6"/>
    </row>
    <row r="110" spans="1:45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12"/>
      <c r="AK110" s="12"/>
      <c r="AL110" s="6"/>
      <c r="AM110" s="6"/>
      <c r="AN110" s="6"/>
      <c r="AO110" s="6"/>
      <c r="AP110" s="6"/>
      <c r="AQ110" s="6"/>
      <c r="AR110" s="6"/>
      <c r="AS110" s="6"/>
    </row>
    <row r="111" spans="1:45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12"/>
      <c r="AK111" s="12"/>
      <c r="AL111" s="6"/>
      <c r="AM111" s="6"/>
      <c r="AN111" s="6"/>
      <c r="AO111" s="6"/>
      <c r="AP111" s="6"/>
      <c r="AQ111" s="6"/>
      <c r="AR111" s="6"/>
      <c r="AS111" s="6"/>
    </row>
    <row r="112" spans="1:45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12"/>
      <c r="AK112" s="12"/>
      <c r="AL112" s="6"/>
      <c r="AM112" s="6"/>
      <c r="AN112" s="6"/>
      <c r="AO112" s="6"/>
      <c r="AP112" s="6"/>
      <c r="AQ112" s="6"/>
      <c r="AR112" s="6"/>
      <c r="AS112" s="6"/>
    </row>
    <row r="113" spans="1:45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12"/>
      <c r="AK113" s="12"/>
      <c r="AL113" s="6"/>
      <c r="AM113" s="6"/>
      <c r="AN113" s="6"/>
      <c r="AO113" s="6"/>
      <c r="AP113" s="6"/>
      <c r="AQ113" s="6"/>
      <c r="AR113" s="6"/>
      <c r="AS113" s="6"/>
    </row>
    <row r="114" spans="1:45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12"/>
      <c r="AK114" s="12"/>
      <c r="AL114" s="6"/>
      <c r="AM114" s="6"/>
      <c r="AN114" s="6"/>
      <c r="AO114" s="6"/>
      <c r="AP114" s="6"/>
      <c r="AQ114" s="6"/>
      <c r="AR114" s="6"/>
      <c r="AS114" s="6"/>
    </row>
    <row r="115" spans="1:4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12"/>
      <c r="AK115" s="12"/>
      <c r="AL115" s="6"/>
      <c r="AM115" s="6"/>
      <c r="AN115" s="6"/>
      <c r="AO115" s="6"/>
      <c r="AP115" s="6"/>
      <c r="AQ115" s="6"/>
      <c r="AR115" s="6"/>
      <c r="AS115" s="6"/>
    </row>
    <row r="116" spans="1:45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12"/>
      <c r="AK116" s="12"/>
      <c r="AL116" s="6"/>
      <c r="AM116" s="6"/>
      <c r="AN116" s="6"/>
      <c r="AO116" s="6"/>
      <c r="AP116" s="6"/>
      <c r="AQ116" s="6"/>
      <c r="AR116" s="6"/>
      <c r="AS116" s="6"/>
    </row>
    <row r="117" spans="1:45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12"/>
      <c r="AK117" s="12"/>
      <c r="AL117" s="6"/>
      <c r="AM117" s="6"/>
      <c r="AN117" s="6"/>
      <c r="AO117" s="6"/>
      <c r="AP117" s="6"/>
      <c r="AQ117" s="6"/>
      <c r="AR117" s="6"/>
      <c r="AS117" s="6"/>
    </row>
    <row r="118" spans="1:45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12"/>
      <c r="AK118" s="12"/>
      <c r="AL118" s="6"/>
      <c r="AM118" s="6"/>
      <c r="AN118" s="6"/>
      <c r="AO118" s="6"/>
      <c r="AP118" s="6"/>
      <c r="AQ118" s="6"/>
      <c r="AR118" s="6"/>
      <c r="AS118" s="6"/>
    </row>
    <row r="119" spans="1:45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12"/>
      <c r="AK119" s="12"/>
      <c r="AL119" s="6"/>
      <c r="AM119" s="6"/>
      <c r="AN119" s="6"/>
      <c r="AO119" s="6"/>
      <c r="AP119" s="6"/>
      <c r="AQ119" s="6"/>
      <c r="AR119" s="6"/>
      <c r="AS119" s="6"/>
    </row>
    <row r="120" spans="1:45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12"/>
      <c r="AK120" s="12"/>
      <c r="AL120" s="6"/>
      <c r="AM120" s="6"/>
      <c r="AN120" s="6"/>
      <c r="AO120" s="6"/>
      <c r="AP120" s="6"/>
      <c r="AQ120" s="6"/>
      <c r="AR120" s="6"/>
      <c r="AS120" s="6"/>
    </row>
    <row r="121" spans="1:45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12"/>
      <c r="AK121" s="12"/>
      <c r="AL121" s="6"/>
      <c r="AM121" s="6"/>
      <c r="AN121" s="6"/>
      <c r="AO121" s="6"/>
      <c r="AP121" s="6"/>
      <c r="AQ121" s="6"/>
      <c r="AR121" s="6"/>
      <c r="AS121" s="6"/>
    </row>
    <row r="122" spans="1:45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12"/>
      <c r="AK122" s="12"/>
      <c r="AL122" s="6"/>
      <c r="AM122" s="6"/>
      <c r="AN122" s="6"/>
      <c r="AO122" s="6"/>
      <c r="AP122" s="6"/>
      <c r="AQ122" s="6"/>
      <c r="AR122" s="6"/>
      <c r="AS122" s="6"/>
    </row>
    <row r="123" spans="1:45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12"/>
      <c r="AK123" s="12"/>
      <c r="AL123" s="6"/>
      <c r="AM123" s="6"/>
      <c r="AN123" s="6"/>
      <c r="AO123" s="6"/>
      <c r="AP123" s="6"/>
      <c r="AQ123" s="6"/>
      <c r="AR123" s="6"/>
      <c r="AS123" s="6"/>
    </row>
    <row r="124" spans="1:45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12"/>
      <c r="AK124" s="12"/>
      <c r="AL124" s="6"/>
      <c r="AM124" s="6"/>
      <c r="AN124" s="6"/>
      <c r="AO124" s="6"/>
      <c r="AP124" s="6"/>
      <c r="AQ124" s="6"/>
      <c r="AR124" s="6"/>
      <c r="AS124" s="6"/>
    </row>
    <row r="125" spans="1:4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12"/>
      <c r="AK125" s="12"/>
      <c r="AL125" s="6"/>
      <c r="AM125" s="6"/>
      <c r="AN125" s="6"/>
      <c r="AO125" s="6"/>
      <c r="AP125" s="6"/>
      <c r="AQ125" s="6"/>
      <c r="AR125" s="6"/>
      <c r="AS125" s="6"/>
    </row>
    <row r="126" spans="1:45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12"/>
      <c r="AK126" s="12"/>
      <c r="AL126" s="6"/>
      <c r="AM126" s="6"/>
      <c r="AN126" s="6"/>
      <c r="AO126" s="6"/>
      <c r="AP126" s="6"/>
      <c r="AQ126" s="6"/>
      <c r="AR126" s="6"/>
      <c r="AS126" s="6"/>
    </row>
    <row r="127" spans="1:45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12"/>
      <c r="AK127" s="12"/>
      <c r="AL127" s="6"/>
      <c r="AM127" s="6"/>
      <c r="AN127" s="6"/>
      <c r="AO127" s="6"/>
      <c r="AP127" s="6"/>
      <c r="AQ127" s="6"/>
      <c r="AR127" s="6"/>
      <c r="AS127" s="6"/>
    </row>
    <row r="128" spans="1:45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12"/>
      <c r="AK128" s="12"/>
      <c r="AL128" s="6"/>
      <c r="AM128" s="6"/>
      <c r="AN128" s="6"/>
      <c r="AO128" s="6"/>
      <c r="AP128" s="6"/>
      <c r="AQ128" s="6"/>
      <c r="AR128" s="6"/>
      <c r="AS128" s="6"/>
    </row>
    <row r="129" spans="1:45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12"/>
      <c r="AK129" s="12"/>
      <c r="AL129" s="6"/>
      <c r="AM129" s="6"/>
      <c r="AN129" s="6"/>
      <c r="AO129" s="6"/>
      <c r="AP129" s="6"/>
      <c r="AQ129" s="6"/>
      <c r="AR129" s="6"/>
      <c r="AS129" s="6"/>
    </row>
    <row r="130" spans="1:45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12"/>
      <c r="AK130" s="12"/>
      <c r="AL130" s="6"/>
      <c r="AM130" s="6"/>
      <c r="AN130" s="6"/>
      <c r="AO130" s="6"/>
      <c r="AP130" s="6"/>
      <c r="AQ130" s="6"/>
      <c r="AR130" s="6"/>
      <c r="AS130" s="6"/>
    </row>
    <row r="131" spans="1:45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12"/>
      <c r="AK131" s="12"/>
      <c r="AL131" s="6"/>
      <c r="AM131" s="6"/>
      <c r="AN131" s="6"/>
      <c r="AO131" s="6"/>
      <c r="AP131" s="6"/>
      <c r="AQ131" s="6"/>
      <c r="AR131" s="6"/>
      <c r="AS131" s="6"/>
    </row>
    <row r="132" spans="1:45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12"/>
      <c r="AK132" s="12"/>
      <c r="AL132" s="6"/>
      <c r="AM132" s="6"/>
      <c r="AN132" s="6"/>
      <c r="AO132" s="6"/>
      <c r="AP132" s="6"/>
      <c r="AQ132" s="6"/>
      <c r="AR132" s="6"/>
      <c r="AS132" s="6"/>
    </row>
    <row r="133" spans="1:45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12"/>
      <c r="AK133" s="12"/>
      <c r="AL133" s="6"/>
      <c r="AM133" s="6"/>
      <c r="AN133" s="6"/>
      <c r="AO133" s="6"/>
      <c r="AP133" s="6"/>
      <c r="AQ133" s="6"/>
      <c r="AR133" s="6"/>
      <c r="AS133" s="6"/>
    </row>
    <row r="134" spans="1:45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12"/>
      <c r="AK134" s="12"/>
      <c r="AL134" s="6"/>
      <c r="AM134" s="6"/>
      <c r="AN134" s="6"/>
      <c r="AO134" s="6"/>
      <c r="AP134" s="6"/>
      <c r="AQ134" s="6"/>
      <c r="AR134" s="6"/>
      <c r="AS134" s="6"/>
    </row>
    <row r="135" spans="1:4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12"/>
      <c r="AK135" s="12"/>
      <c r="AL135" s="6"/>
      <c r="AM135" s="6"/>
      <c r="AN135" s="6"/>
      <c r="AO135" s="6"/>
      <c r="AP135" s="6"/>
      <c r="AQ135" s="6"/>
      <c r="AR135" s="6"/>
      <c r="AS135" s="6"/>
    </row>
    <row r="136" spans="1:45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12"/>
      <c r="AK136" s="12"/>
      <c r="AL136" s="6"/>
      <c r="AM136" s="6"/>
      <c r="AN136" s="6"/>
      <c r="AO136" s="6"/>
      <c r="AP136" s="6"/>
      <c r="AQ136" s="6"/>
      <c r="AR136" s="6"/>
      <c r="AS136" s="6"/>
    </row>
    <row r="137" spans="1:45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12"/>
      <c r="AK137" s="12"/>
      <c r="AL137" s="6"/>
      <c r="AM137" s="6"/>
      <c r="AN137" s="6"/>
      <c r="AO137" s="6"/>
      <c r="AP137" s="6"/>
      <c r="AQ137" s="6"/>
      <c r="AR137" s="6"/>
      <c r="AS137" s="6"/>
    </row>
    <row r="138" spans="1:45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12"/>
      <c r="AK138" s="12"/>
      <c r="AL138" s="6"/>
      <c r="AM138" s="6"/>
      <c r="AN138" s="6"/>
      <c r="AO138" s="6"/>
      <c r="AP138" s="6"/>
      <c r="AQ138" s="6"/>
      <c r="AR138" s="6"/>
      <c r="AS138" s="6"/>
    </row>
    <row r="139" spans="1:45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12"/>
      <c r="AK139" s="12"/>
      <c r="AL139" s="6"/>
      <c r="AM139" s="6"/>
      <c r="AN139" s="6"/>
      <c r="AO139" s="6"/>
      <c r="AP139" s="6"/>
      <c r="AQ139" s="6"/>
      <c r="AR139" s="6"/>
      <c r="AS139" s="6"/>
    </row>
    <row r="140" spans="1:45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12"/>
      <c r="AK140" s="12"/>
      <c r="AL140" s="6"/>
      <c r="AM140" s="6"/>
      <c r="AN140" s="6"/>
      <c r="AO140" s="6"/>
      <c r="AP140" s="6"/>
      <c r="AQ140" s="6"/>
      <c r="AR140" s="6"/>
      <c r="AS140" s="6"/>
    </row>
    <row r="141" spans="1:45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2"/>
      <c r="AK141" s="12"/>
      <c r="AL141" s="6"/>
      <c r="AM141" s="6"/>
      <c r="AN141" s="6"/>
      <c r="AO141" s="6"/>
      <c r="AP141" s="6"/>
      <c r="AQ141" s="6"/>
      <c r="AR141" s="6"/>
      <c r="AS141" s="6"/>
    </row>
    <row r="142" spans="1:45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12"/>
      <c r="AK142" s="12"/>
      <c r="AL142" s="6"/>
      <c r="AM142" s="6"/>
      <c r="AN142" s="6"/>
      <c r="AO142" s="6"/>
      <c r="AP142" s="6"/>
      <c r="AQ142" s="6"/>
      <c r="AR142" s="6"/>
      <c r="AS142" s="6"/>
    </row>
    <row r="143" spans="1:45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12"/>
      <c r="AK143" s="12"/>
      <c r="AL143" s="6"/>
      <c r="AM143" s="6"/>
      <c r="AN143" s="6"/>
      <c r="AO143" s="6"/>
      <c r="AP143" s="6"/>
      <c r="AQ143" s="6"/>
      <c r="AR143" s="6"/>
      <c r="AS143" s="6"/>
    </row>
    <row r="144" spans="1:45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12"/>
      <c r="AK144" s="12"/>
      <c r="AL144" s="6"/>
      <c r="AM144" s="6"/>
      <c r="AN144" s="6"/>
      <c r="AO144" s="6"/>
      <c r="AP144" s="6"/>
      <c r="AQ144" s="6"/>
      <c r="AR144" s="6"/>
      <c r="AS144" s="6"/>
    </row>
    <row r="145" spans="1: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2"/>
      <c r="AK145" s="12"/>
      <c r="AL145" s="6"/>
      <c r="AM145" s="6"/>
      <c r="AN145" s="6"/>
      <c r="AO145" s="6"/>
      <c r="AP145" s="6"/>
      <c r="AQ145" s="6"/>
      <c r="AR145" s="6"/>
      <c r="AS145" s="6"/>
    </row>
    <row r="146" spans="1:45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12"/>
      <c r="AK146" s="12"/>
      <c r="AL146" s="6"/>
      <c r="AM146" s="6"/>
      <c r="AN146" s="6"/>
      <c r="AO146" s="6"/>
      <c r="AP146" s="6"/>
      <c r="AQ146" s="6"/>
      <c r="AR146" s="6"/>
      <c r="AS146" s="6"/>
    </row>
    <row r="147" spans="1:45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12"/>
      <c r="AK147" s="12"/>
      <c r="AL147" s="6"/>
      <c r="AM147" s="6"/>
      <c r="AN147" s="6"/>
      <c r="AO147" s="6"/>
      <c r="AP147" s="6"/>
      <c r="AQ147" s="6"/>
      <c r="AR147" s="6"/>
      <c r="AS147" s="6"/>
    </row>
    <row r="148" spans="1:45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12"/>
      <c r="AK148" s="12"/>
      <c r="AL148" s="6"/>
      <c r="AM148" s="6"/>
      <c r="AN148" s="6"/>
      <c r="AO148" s="6"/>
      <c r="AP148" s="6"/>
      <c r="AQ148" s="6"/>
      <c r="AR148" s="6"/>
      <c r="AS148" s="6"/>
    </row>
    <row r="149" spans="1:45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2"/>
      <c r="AK149" s="12"/>
      <c r="AL149" s="6"/>
      <c r="AM149" s="6"/>
      <c r="AN149" s="6"/>
      <c r="AO149" s="6"/>
      <c r="AP149" s="6"/>
      <c r="AQ149" s="6"/>
      <c r="AR149" s="6"/>
      <c r="AS149" s="6"/>
    </row>
    <row r="150" spans="1:45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12"/>
      <c r="AK150" s="12"/>
      <c r="AL150" s="6"/>
      <c r="AM150" s="6"/>
      <c r="AN150" s="6"/>
      <c r="AO150" s="6"/>
      <c r="AP150" s="6"/>
      <c r="AQ150" s="6"/>
      <c r="AR150" s="6"/>
      <c r="AS150" s="6"/>
    </row>
    <row r="151" spans="1:45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12"/>
      <c r="AK151" s="12"/>
      <c r="AL151" s="6"/>
      <c r="AM151" s="6"/>
      <c r="AN151" s="6"/>
      <c r="AO151" s="6"/>
      <c r="AP151" s="6"/>
      <c r="AQ151" s="6"/>
      <c r="AR151" s="6"/>
      <c r="AS151" s="6"/>
    </row>
    <row r="152" spans="1:45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12"/>
      <c r="AK152" s="12"/>
      <c r="AL152" s="6"/>
      <c r="AM152" s="6"/>
      <c r="AN152" s="6"/>
      <c r="AO152" s="6"/>
      <c r="AP152" s="6"/>
      <c r="AQ152" s="6"/>
      <c r="AR152" s="6"/>
      <c r="AS152" s="6"/>
    </row>
    <row r="153" spans="1:45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12"/>
      <c r="AK153" s="12"/>
      <c r="AL153" s="6"/>
      <c r="AM153" s="6"/>
      <c r="AN153" s="6"/>
      <c r="AO153" s="6"/>
      <c r="AP153" s="6"/>
      <c r="AQ153" s="6"/>
      <c r="AR153" s="6"/>
      <c r="AS153" s="6"/>
    </row>
    <row r="154" spans="1:45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12"/>
      <c r="AK154" s="12"/>
      <c r="AL154" s="6"/>
      <c r="AM154" s="6"/>
      <c r="AN154" s="6"/>
      <c r="AO154" s="6"/>
      <c r="AP154" s="6"/>
      <c r="AQ154" s="6"/>
      <c r="AR154" s="6"/>
      <c r="AS154" s="6"/>
    </row>
    <row r="155" spans="1:4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12"/>
      <c r="AK155" s="12"/>
      <c r="AL155" s="6"/>
      <c r="AM155" s="6"/>
      <c r="AN155" s="6"/>
      <c r="AO155" s="6"/>
      <c r="AP155" s="6"/>
      <c r="AQ155" s="6"/>
      <c r="AR155" s="6"/>
      <c r="AS155" s="6"/>
    </row>
    <row r="156" spans="1:45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12"/>
      <c r="AK156" s="12"/>
      <c r="AL156" s="6"/>
      <c r="AM156" s="6"/>
      <c r="AN156" s="6"/>
      <c r="AO156" s="6"/>
      <c r="AP156" s="6"/>
      <c r="AQ156" s="6"/>
      <c r="AR156" s="6"/>
      <c r="AS156" s="6"/>
    </row>
    <row r="157" spans="1:45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12"/>
      <c r="AK157" s="12"/>
      <c r="AL157" s="6"/>
      <c r="AM157" s="6"/>
      <c r="AN157" s="6"/>
      <c r="AO157" s="6"/>
      <c r="AP157" s="6"/>
      <c r="AQ157" s="6"/>
      <c r="AR157" s="6"/>
      <c r="AS157" s="6"/>
    </row>
    <row r="158" spans="1:45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12"/>
      <c r="AK158" s="12"/>
      <c r="AL158" s="6"/>
      <c r="AM158" s="6"/>
      <c r="AN158" s="6"/>
      <c r="AO158" s="6"/>
      <c r="AP158" s="6"/>
      <c r="AQ158" s="6"/>
      <c r="AR158" s="6"/>
      <c r="AS158" s="6"/>
    </row>
    <row r="159" spans="1:45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12"/>
      <c r="AK159" s="12"/>
      <c r="AL159" s="6"/>
      <c r="AM159" s="6"/>
      <c r="AN159" s="6"/>
      <c r="AO159" s="6"/>
      <c r="AP159" s="6"/>
      <c r="AQ159" s="6"/>
      <c r="AR159" s="6"/>
      <c r="AS159" s="6"/>
    </row>
    <row r="160" spans="1:45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12"/>
      <c r="AK160" s="12"/>
      <c r="AL160" s="6"/>
      <c r="AM160" s="6"/>
      <c r="AN160" s="6"/>
      <c r="AO160" s="6"/>
      <c r="AP160" s="6"/>
      <c r="AQ160" s="6"/>
      <c r="AR160" s="6"/>
      <c r="AS160" s="6"/>
    </row>
    <row r="161" spans="1:45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12"/>
      <c r="AK161" s="12"/>
      <c r="AL161" s="6"/>
      <c r="AM161" s="6"/>
      <c r="AN161" s="6"/>
      <c r="AO161" s="6"/>
      <c r="AP161" s="6"/>
      <c r="AQ161" s="6"/>
      <c r="AR161" s="6"/>
      <c r="AS161" s="6"/>
    </row>
    <row r="162" spans="1:45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12"/>
      <c r="AK162" s="12"/>
      <c r="AL162" s="6"/>
      <c r="AM162" s="6"/>
      <c r="AN162" s="6"/>
      <c r="AO162" s="6"/>
      <c r="AP162" s="6"/>
      <c r="AQ162" s="6"/>
      <c r="AR162" s="6"/>
      <c r="AS162" s="6"/>
    </row>
    <row r="163" spans="1:45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12"/>
      <c r="AK163" s="12"/>
      <c r="AL163" s="6"/>
      <c r="AM163" s="6"/>
      <c r="AN163" s="6"/>
      <c r="AO163" s="6"/>
      <c r="AP163" s="6"/>
      <c r="AQ163" s="6"/>
      <c r="AR163" s="6"/>
      <c r="AS163" s="6"/>
    </row>
    <row r="164" spans="1:45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12"/>
      <c r="AK164" s="12"/>
      <c r="AL164" s="6"/>
      <c r="AM164" s="6"/>
      <c r="AN164" s="6"/>
      <c r="AO164" s="6"/>
      <c r="AP164" s="6"/>
      <c r="AQ164" s="6"/>
      <c r="AR164" s="6"/>
      <c r="AS164" s="6"/>
    </row>
    <row r="165" spans="1:4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12"/>
      <c r="AK165" s="12"/>
      <c r="AL165" s="6"/>
      <c r="AM165" s="6"/>
      <c r="AN165" s="6"/>
      <c r="AO165" s="6"/>
      <c r="AP165" s="6"/>
      <c r="AQ165" s="6"/>
      <c r="AR165" s="6"/>
      <c r="AS165" s="6"/>
    </row>
    <row r="166" spans="1:45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12"/>
      <c r="AK166" s="12"/>
      <c r="AL166" s="6"/>
      <c r="AM166" s="6"/>
      <c r="AN166" s="6"/>
      <c r="AO166" s="6"/>
      <c r="AP166" s="6"/>
      <c r="AQ166" s="6"/>
      <c r="AR166" s="6"/>
      <c r="AS166" s="6"/>
    </row>
    <row r="167" spans="1:45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12"/>
      <c r="AK167" s="12"/>
      <c r="AL167" s="6"/>
      <c r="AM167" s="6"/>
      <c r="AN167" s="6"/>
      <c r="AO167" s="6"/>
      <c r="AP167" s="6"/>
      <c r="AQ167" s="6"/>
      <c r="AR167" s="6"/>
      <c r="AS167" s="6"/>
    </row>
    <row r="168" spans="1:45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12"/>
      <c r="AK168" s="12"/>
      <c r="AL168" s="6"/>
      <c r="AM168" s="6"/>
      <c r="AN168" s="6"/>
      <c r="AO168" s="6"/>
      <c r="AP168" s="6"/>
      <c r="AQ168" s="6"/>
      <c r="AR168" s="6"/>
      <c r="AS168" s="6"/>
    </row>
    <row r="169" spans="1:45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12"/>
      <c r="AK169" s="12"/>
      <c r="AL169" s="6"/>
      <c r="AM169" s="6"/>
      <c r="AN169" s="6"/>
      <c r="AO169" s="6"/>
      <c r="AP169" s="6"/>
      <c r="AQ169" s="6"/>
      <c r="AR169" s="6"/>
      <c r="AS169" s="6"/>
    </row>
    <row r="170" spans="1:45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12"/>
      <c r="AK170" s="12"/>
      <c r="AL170" s="6"/>
      <c r="AM170" s="6"/>
      <c r="AN170" s="6"/>
      <c r="AO170" s="6"/>
      <c r="AP170" s="6"/>
      <c r="AQ170" s="6"/>
      <c r="AR170" s="6"/>
      <c r="AS170" s="6"/>
    </row>
    <row r="171" spans="1:45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12"/>
      <c r="AK171" s="12"/>
      <c r="AL171" s="6"/>
      <c r="AM171" s="6"/>
      <c r="AN171" s="6"/>
      <c r="AO171" s="6"/>
      <c r="AP171" s="6"/>
      <c r="AQ171" s="6"/>
      <c r="AR171" s="6"/>
      <c r="AS171" s="6"/>
    </row>
    <row r="172" spans="1:45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12"/>
      <c r="AK172" s="12"/>
      <c r="AL172" s="6"/>
      <c r="AM172" s="6"/>
      <c r="AN172" s="6"/>
      <c r="AO172" s="6"/>
      <c r="AP172" s="6"/>
      <c r="AQ172" s="6"/>
      <c r="AR172" s="6"/>
      <c r="AS172" s="6"/>
    </row>
    <row r="173" spans="1:45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12"/>
      <c r="AK173" s="12"/>
      <c r="AL173" s="6"/>
      <c r="AM173" s="6"/>
      <c r="AN173" s="6"/>
      <c r="AO173" s="6"/>
      <c r="AP173" s="6"/>
      <c r="AQ173" s="6"/>
      <c r="AR173" s="6"/>
      <c r="AS173" s="6"/>
    </row>
    <row r="174" spans="1:45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12"/>
      <c r="AK174" s="12"/>
      <c r="AL174" s="6"/>
      <c r="AM174" s="6"/>
      <c r="AN174" s="6"/>
      <c r="AO174" s="6"/>
      <c r="AP174" s="6"/>
      <c r="AQ174" s="6"/>
      <c r="AR174" s="6"/>
      <c r="AS174" s="6"/>
    </row>
    <row r="175" spans="1:4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12"/>
      <c r="AK175" s="12"/>
      <c r="AL175" s="6"/>
      <c r="AM175" s="6"/>
      <c r="AN175" s="6"/>
      <c r="AO175" s="6"/>
      <c r="AP175" s="6"/>
      <c r="AQ175" s="6"/>
      <c r="AR175" s="6"/>
      <c r="AS175" s="6"/>
    </row>
    <row r="176" spans="1:45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12"/>
      <c r="AK176" s="12"/>
      <c r="AL176" s="6"/>
      <c r="AM176" s="6"/>
      <c r="AN176" s="6"/>
      <c r="AO176" s="6"/>
      <c r="AP176" s="6"/>
      <c r="AQ176" s="6"/>
      <c r="AR176" s="6"/>
      <c r="AS176" s="6"/>
    </row>
    <row r="177" spans="1:45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12"/>
      <c r="AK177" s="12"/>
      <c r="AL177" s="6"/>
      <c r="AM177" s="6"/>
      <c r="AN177" s="6"/>
      <c r="AO177" s="6"/>
      <c r="AP177" s="6"/>
      <c r="AQ177" s="6"/>
      <c r="AR177" s="6"/>
      <c r="AS177" s="6"/>
    </row>
    <row r="178" spans="1:45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12"/>
      <c r="AK178" s="12"/>
      <c r="AL178" s="6"/>
      <c r="AM178" s="6"/>
      <c r="AN178" s="6"/>
      <c r="AO178" s="6"/>
      <c r="AP178" s="6"/>
      <c r="AQ178" s="6"/>
      <c r="AR178" s="6"/>
      <c r="AS178" s="6"/>
    </row>
    <row r="179" spans="1:45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12"/>
      <c r="AK179" s="12"/>
      <c r="AL179" s="6"/>
      <c r="AM179" s="6"/>
      <c r="AN179" s="6"/>
      <c r="AO179" s="6"/>
      <c r="AP179" s="6"/>
      <c r="AQ179" s="6"/>
      <c r="AR179" s="6"/>
      <c r="AS179" s="6"/>
    </row>
    <row r="180" spans="1:45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12"/>
      <c r="AK180" s="12"/>
      <c r="AL180" s="6"/>
      <c r="AM180" s="6"/>
      <c r="AN180" s="6"/>
      <c r="AO180" s="6"/>
      <c r="AP180" s="6"/>
      <c r="AQ180" s="6"/>
      <c r="AR180" s="6"/>
      <c r="AS180" s="6"/>
    </row>
    <row r="181" spans="1:45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12"/>
      <c r="AK181" s="12"/>
      <c r="AL181" s="6"/>
      <c r="AM181" s="6"/>
      <c r="AN181" s="6"/>
      <c r="AO181" s="6"/>
      <c r="AP181" s="6"/>
      <c r="AQ181" s="6"/>
      <c r="AR181" s="6"/>
      <c r="AS181" s="6"/>
    </row>
    <row r="182" spans="1:45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12"/>
      <c r="AK182" s="12"/>
      <c r="AL182" s="6"/>
      <c r="AM182" s="6"/>
      <c r="AN182" s="6"/>
      <c r="AO182" s="6"/>
      <c r="AP182" s="6"/>
      <c r="AQ182" s="6"/>
      <c r="AR182" s="6"/>
      <c r="AS182" s="6"/>
    </row>
    <row r="183" spans="1:45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12"/>
      <c r="AK183" s="12"/>
      <c r="AL183" s="6"/>
      <c r="AM183" s="6"/>
      <c r="AN183" s="6"/>
      <c r="AO183" s="6"/>
      <c r="AP183" s="6"/>
      <c r="AQ183" s="6"/>
      <c r="AR183" s="6"/>
      <c r="AS183" s="6"/>
    </row>
    <row r="184" spans="1:45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12"/>
      <c r="AK184" s="12"/>
      <c r="AL184" s="6"/>
      <c r="AM184" s="6"/>
      <c r="AN184" s="6"/>
      <c r="AO184" s="6"/>
      <c r="AP184" s="6"/>
      <c r="AQ184" s="6"/>
      <c r="AR184" s="6"/>
      <c r="AS184" s="6"/>
    </row>
    <row r="185" spans="1:4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12"/>
      <c r="AK185" s="12"/>
      <c r="AL185" s="6"/>
      <c r="AM185" s="6"/>
      <c r="AN185" s="6"/>
      <c r="AO185" s="6"/>
      <c r="AP185" s="6"/>
      <c r="AQ185" s="6"/>
      <c r="AR185" s="6"/>
      <c r="AS185" s="6"/>
    </row>
    <row r="186" spans="1:45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12"/>
      <c r="AK186" s="12"/>
      <c r="AL186" s="6"/>
      <c r="AM186" s="6"/>
      <c r="AN186" s="6"/>
      <c r="AO186" s="6"/>
      <c r="AP186" s="6"/>
      <c r="AQ186" s="6"/>
      <c r="AR186" s="6"/>
      <c r="AS186" s="6"/>
    </row>
    <row r="187" spans="1:45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12"/>
      <c r="AK187" s="12"/>
      <c r="AL187" s="6"/>
      <c r="AM187" s="6"/>
      <c r="AN187" s="6"/>
      <c r="AO187" s="6"/>
      <c r="AP187" s="6"/>
      <c r="AQ187" s="6"/>
      <c r="AR187" s="6"/>
      <c r="AS187" s="6"/>
    </row>
    <row r="188" spans="1:45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12"/>
      <c r="AK188" s="12"/>
      <c r="AL188" s="6"/>
      <c r="AM188" s="6"/>
      <c r="AN188" s="6"/>
      <c r="AO188" s="6"/>
      <c r="AP188" s="6"/>
      <c r="AQ188" s="6"/>
      <c r="AR188" s="6"/>
      <c r="AS188" s="6"/>
    </row>
    <row r="189" spans="1:45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12"/>
      <c r="AK189" s="12"/>
      <c r="AL189" s="6"/>
      <c r="AM189" s="6"/>
      <c r="AN189" s="6"/>
      <c r="AO189" s="6"/>
      <c r="AP189" s="6"/>
      <c r="AQ189" s="6"/>
      <c r="AR189" s="6"/>
      <c r="AS189" s="6"/>
    </row>
    <row r="190" spans="1:45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12"/>
      <c r="AK190" s="12"/>
      <c r="AL190" s="6"/>
      <c r="AM190" s="6"/>
      <c r="AN190" s="6"/>
      <c r="AO190" s="6"/>
      <c r="AP190" s="6"/>
      <c r="AQ190" s="6"/>
      <c r="AR190" s="6"/>
      <c r="AS190" s="6"/>
    </row>
    <row r="191" spans="1:45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12"/>
      <c r="AK191" s="12"/>
      <c r="AL191" s="6"/>
      <c r="AM191" s="6"/>
      <c r="AN191" s="6"/>
      <c r="AO191" s="6"/>
      <c r="AP191" s="6"/>
      <c r="AQ191" s="6"/>
      <c r="AR191" s="6"/>
      <c r="AS191" s="6"/>
    </row>
    <row r="192" spans="1:45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12"/>
      <c r="AK192" s="12"/>
      <c r="AL192" s="6"/>
      <c r="AM192" s="6"/>
      <c r="AN192" s="6"/>
      <c r="AO192" s="6"/>
      <c r="AP192" s="6"/>
      <c r="AQ192" s="6"/>
      <c r="AR192" s="6"/>
      <c r="AS192" s="6"/>
    </row>
    <row r="193" spans="1:45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12"/>
      <c r="AK193" s="12"/>
      <c r="AL193" s="6"/>
      <c r="AM193" s="6"/>
      <c r="AN193" s="6"/>
      <c r="AO193" s="6"/>
      <c r="AP193" s="6"/>
      <c r="AQ193" s="6"/>
      <c r="AR193" s="6"/>
      <c r="AS193" s="6"/>
    </row>
    <row r="194" spans="1:45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12"/>
      <c r="AK194" s="12"/>
      <c r="AL194" s="6"/>
      <c r="AM194" s="6"/>
      <c r="AN194" s="6"/>
      <c r="AO194" s="6"/>
      <c r="AP194" s="6"/>
      <c r="AQ194" s="6"/>
      <c r="AR194" s="6"/>
      <c r="AS194" s="6"/>
    </row>
    <row r="195" spans="1:4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12"/>
      <c r="AK195" s="12"/>
      <c r="AL195" s="6"/>
      <c r="AM195" s="6"/>
      <c r="AN195" s="6"/>
      <c r="AO195" s="6"/>
      <c r="AP195" s="6"/>
      <c r="AQ195" s="6"/>
      <c r="AR195" s="6"/>
      <c r="AS195" s="6"/>
    </row>
    <row r="196" spans="1:45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12"/>
      <c r="AK196" s="12"/>
      <c r="AL196" s="6"/>
      <c r="AM196" s="6"/>
      <c r="AN196" s="6"/>
      <c r="AO196" s="6"/>
      <c r="AP196" s="6"/>
      <c r="AQ196" s="6"/>
      <c r="AR196" s="6"/>
      <c r="AS196" s="6"/>
    </row>
    <row r="197" spans="1:45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12"/>
      <c r="AK197" s="12"/>
      <c r="AL197" s="6"/>
      <c r="AM197" s="6"/>
      <c r="AN197" s="6"/>
      <c r="AO197" s="6"/>
      <c r="AP197" s="6"/>
      <c r="AQ197" s="6"/>
      <c r="AR197" s="6"/>
      <c r="AS197" s="6"/>
    </row>
    <row r="198" spans="1:45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12"/>
      <c r="AK198" s="12"/>
      <c r="AL198" s="6"/>
      <c r="AM198" s="6"/>
      <c r="AN198" s="6"/>
      <c r="AO198" s="6"/>
      <c r="AP198" s="6"/>
      <c r="AQ198" s="6"/>
      <c r="AR198" s="6"/>
      <c r="AS198" s="6"/>
    </row>
    <row r="199" spans="1:45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12"/>
      <c r="AK199" s="12"/>
      <c r="AL199" s="6"/>
      <c r="AM199" s="6"/>
      <c r="AN199" s="6"/>
      <c r="AO199" s="6"/>
      <c r="AP199" s="6"/>
      <c r="AQ199" s="6"/>
      <c r="AR199" s="6"/>
      <c r="AS199" s="6"/>
    </row>
    <row r="200" spans="1:45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12"/>
      <c r="AK200" s="12"/>
      <c r="AL200" s="6"/>
      <c r="AM200" s="6"/>
      <c r="AN200" s="6"/>
      <c r="AO200" s="6"/>
      <c r="AP200" s="6"/>
      <c r="AQ200" s="6"/>
      <c r="AR200" s="6"/>
      <c r="AS200" s="6"/>
    </row>
    <row r="201" spans="1:45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12"/>
      <c r="AK201" s="12"/>
      <c r="AL201" s="6"/>
      <c r="AM201" s="6"/>
      <c r="AN201" s="6"/>
      <c r="AO201" s="6"/>
      <c r="AP201" s="6"/>
      <c r="AQ201" s="6"/>
      <c r="AR201" s="6"/>
      <c r="AS201" s="6"/>
    </row>
    <row r="202" spans="1:45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12"/>
      <c r="AK202" s="12"/>
      <c r="AL202" s="6"/>
      <c r="AM202" s="6"/>
      <c r="AN202" s="6"/>
      <c r="AO202" s="6"/>
      <c r="AP202" s="6"/>
      <c r="AQ202" s="6"/>
      <c r="AR202" s="6"/>
      <c r="AS202" s="6"/>
    </row>
    <row r="203" spans="1:45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12"/>
      <c r="AK203" s="12"/>
      <c r="AL203" s="6"/>
      <c r="AM203" s="6"/>
      <c r="AN203" s="6"/>
      <c r="AO203" s="6"/>
      <c r="AP203" s="6"/>
      <c r="AQ203" s="6"/>
      <c r="AR203" s="6"/>
      <c r="AS203" s="6"/>
    </row>
    <row r="204" spans="1:45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12"/>
      <c r="AK204" s="12"/>
      <c r="AL204" s="6"/>
      <c r="AM204" s="6"/>
      <c r="AN204" s="6"/>
      <c r="AO204" s="6"/>
      <c r="AP204" s="6"/>
      <c r="AQ204" s="6"/>
      <c r="AR204" s="6"/>
      <c r="AS204" s="6"/>
    </row>
    <row r="205" spans="1:4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12"/>
      <c r="AK205" s="12"/>
      <c r="AL205" s="6"/>
      <c r="AM205" s="6"/>
      <c r="AN205" s="6"/>
      <c r="AO205" s="6"/>
      <c r="AP205" s="6"/>
      <c r="AQ205" s="6"/>
      <c r="AR205" s="6"/>
      <c r="AS205" s="6"/>
    </row>
    <row r="206" spans="1:45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12"/>
      <c r="AK206" s="12"/>
      <c r="AL206" s="6"/>
      <c r="AM206" s="6"/>
      <c r="AN206" s="6"/>
      <c r="AO206" s="6"/>
      <c r="AP206" s="6"/>
      <c r="AQ206" s="6"/>
      <c r="AR206" s="6"/>
      <c r="AS206" s="6"/>
    </row>
    <row r="207" spans="1:45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12"/>
      <c r="AK207" s="12"/>
      <c r="AL207" s="6"/>
      <c r="AM207" s="6"/>
      <c r="AN207" s="6"/>
      <c r="AO207" s="6"/>
      <c r="AP207" s="6"/>
      <c r="AQ207" s="6"/>
      <c r="AR207" s="6"/>
      <c r="AS207" s="6"/>
    </row>
    <row r="208" spans="1:45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12"/>
      <c r="AK208" s="12"/>
      <c r="AL208" s="6"/>
      <c r="AM208" s="6"/>
      <c r="AN208" s="6"/>
      <c r="AO208" s="6"/>
      <c r="AP208" s="6"/>
      <c r="AQ208" s="6"/>
      <c r="AR208" s="6"/>
      <c r="AS208" s="6"/>
    </row>
    <row r="209" spans="1:45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12"/>
      <c r="AK209" s="12"/>
      <c r="AL209" s="6"/>
      <c r="AM209" s="6"/>
      <c r="AN209" s="6"/>
      <c r="AO209" s="6"/>
      <c r="AP209" s="6"/>
      <c r="AQ209" s="6"/>
      <c r="AR209" s="6"/>
      <c r="AS209" s="6"/>
    </row>
    <row r="210" spans="1:45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12"/>
      <c r="AK210" s="12"/>
      <c r="AL210" s="6"/>
      <c r="AM210" s="6"/>
      <c r="AN210" s="6"/>
      <c r="AO210" s="6"/>
      <c r="AP210" s="6"/>
      <c r="AQ210" s="6"/>
      <c r="AR210" s="6"/>
      <c r="AS210" s="6"/>
    </row>
    <row r="211" spans="1:45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2"/>
      <c r="AK211" s="12"/>
      <c r="AL211" s="6"/>
      <c r="AM211" s="6"/>
      <c r="AN211" s="6"/>
      <c r="AO211" s="6"/>
      <c r="AP211" s="6"/>
      <c r="AQ211" s="6"/>
      <c r="AR211" s="6"/>
      <c r="AS211" s="6"/>
    </row>
    <row r="212" spans="1:45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12"/>
      <c r="AK212" s="12"/>
      <c r="AL212" s="6"/>
      <c r="AM212" s="6"/>
      <c r="AN212" s="6"/>
      <c r="AO212" s="6"/>
      <c r="AP212" s="6"/>
      <c r="AQ212" s="6"/>
      <c r="AR212" s="6"/>
      <c r="AS212" s="6"/>
    </row>
    <row r="213" spans="1:45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2"/>
      <c r="AK213" s="12"/>
      <c r="AL213" s="6"/>
      <c r="AM213" s="6"/>
      <c r="AN213" s="6"/>
      <c r="AO213" s="6"/>
      <c r="AP213" s="6"/>
      <c r="AQ213" s="6"/>
      <c r="AR213" s="6"/>
      <c r="AS213" s="6"/>
    </row>
    <row r="214" spans="1:45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12"/>
      <c r="AK214" s="12"/>
      <c r="AL214" s="6"/>
      <c r="AM214" s="6"/>
      <c r="AN214" s="6"/>
      <c r="AO214" s="6"/>
      <c r="AP214" s="6"/>
      <c r="AQ214" s="6"/>
      <c r="AR214" s="6"/>
      <c r="AS214" s="6"/>
    </row>
    <row r="215" spans="1:4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12"/>
      <c r="AK215" s="12"/>
      <c r="AL215" s="6"/>
      <c r="AM215" s="6"/>
      <c r="AN215" s="6"/>
      <c r="AO215" s="6"/>
      <c r="AP215" s="6"/>
      <c r="AQ215" s="6"/>
      <c r="AR215" s="6"/>
      <c r="AS215" s="6"/>
    </row>
    <row r="216" spans="1:45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12"/>
      <c r="AK216" s="12"/>
      <c r="AL216" s="6"/>
      <c r="AM216" s="6"/>
      <c r="AN216" s="6"/>
      <c r="AO216" s="6"/>
      <c r="AP216" s="6"/>
      <c r="AQ216" s="6"/>
      <c r="AR216" s="6"/>
      <c r="AS216" s="6"/>
    </row>
    <row r="217" spans="1:45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12"/>
      <c r="AK217" s="12"/>
      <c r="AL217" s="6"/>
      <c r="AM217" s="6"/>
      <c r="AN217" s="6"/>
      <c r="AO217" s="6"/>
      <c r="AP217" s="6"/>
      <c r="AQ217" s="6"/>
      <c r="AR217" s="6"/>
      <c r="AS217" s="6"/>
    </row>
    <row r="218" spans="1:45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12"/>
      <c r="AK218" s="12"/>
      <c r="AL218" s="6"/>
      <c r="AM218" s="6"/>
      <c r="AN218" s="6"/>
      <c r="AO218" s="6"/>
      <c r="AP218" s="6"/>
      <c r="AQ218" s="6"/>
      <c r="AR218" s="6"/>
      <c r="AS218" s="6"/>
    </row>
    <row r="219" spans="1:45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12"/>
      <c r="AK219" s="12"/>
      <c r="AL219" s="6"/>
      <c r="AM219" s="6"/>
      <c r="AN219" s="6"/>
      <c r="AO219" s="6"/>
      <c r="AP219" s="6"/>
      <c r="AQ219" s="6"/>
      <c r="AR219" s="6"/>
      <c r="AS219" s="6"/>
    </row>
    <row r="220" spans="1:45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12"/>
      <c r="AK220" s="12"/>
      <c r="AL220" s="6"/>
      <c r="AM220" s="6"/>
      <c r="AN220" s="6"/>
      <c r="AO220" s="6"/>
      <c r="AP220" s="6"/>
      <c r="AQ220" s="6"/>
      <c r="AR220" s="6"/>
      <c r="AS220" s="6"/>
    </row>
    <row r="221" spans="1:45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12"/>
      <c r="AK221" s="12"/>
      <c r="AL221" s="6"/>
      <c r="AM221" s="6"/>
      <c r="AN221" s="6"/>
      <c r="AO221" s="6"/>
      <c r="AP221" s="6"/>
      <c r="AQ221" s="6"/>
      <c r="AR221" s="6"/>
      <c r="AS221" s="6"/>
    </row>
    <row r="222" spans="1:45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12"/>
      <c r="AK222" s="12"/>
      <c r="AL222" s="6"/>
      <c r="AM222" s="6"/>
      <c r="AN222" s="6"/>
      <c r="AO222" s="6"/>
      <c r="AP222" s="6"/>
      <c r="AQ222" s="6"/>
      <c r="AR222" s="6"/>
      <c r="AS222" s="6"/>
    </row>
    <row r="223" spans="1:45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12"/>
      <c r="AK223" s="12"/>
      <c r="AL223" s="6"/>
      <c r="AM223" s="6"/>
      <c r="AN223" s="6"/>
      <c r="AO223" s="6"/>
      <c r="AP223" s="6"/>
      <c r="AQ223" s="6"/>
      <c r="AR223" s="6"/>
      <c r="AS223" s="6"/>
    </row>
    <row r="224" spans="1:45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12"/>
      <c r="AK224" s="12"/>
      <c r="AL224" s="6"/>
      <c r="AM224" s="6"/>
      <c r="AN224" s="6"/>
      <c r="AO224" s="6"/>
      <c r="AP224" s="6"/>
      <c r="AQ224" s="6"/>
      <c r="AR224" s="6"/>
      <c r="AS224" s="6"/>
    </row>
    <row r="225" spans="1:4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12"/>
      <c r="AK225" s="12"/>
      <c r="AL225" s="6"/>
      <c r="AM225" s="6"/>
      <c r="AN225" s="6"/>
      <c r="AO225" s="6"/>
      <c r="AP225" s="6"/>
      <c r="AQ225" s="6"/>
      <c r="AR225" s="6"/>
      <c r="AS225" s="6"/>
    </row>
    <row r="226" spans="1:45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12"/>
      <c r="AK226" s="12"/>
      <c r="AL226" s="6"/>
      <c r="AM226" s="6"/>
      <c r="AN226" s="6"/>
      <c r="AO226" s="6"/>
      <c r="AP226" s="6"/>
      <c r="AQ226" s="6"/>
      <c r="AR226" s="6"/>
      <c r="AS226" s="6"/>
    </row>
    <row r="227" spans="1:45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12"/>
      <c r="AK227" s="12"/>
      <c r="AL227" s="6"/>
      <c r="AM227" s="6"/>
      <c r="AN227" s="6"/>
      <c r="AO227" s="6"/>
      <c r="AP227" s="6"/>
      <c r="AQ227" s="6"/>
      <c r="AR227" s="6"/>
      <c r="AS227" s="6"/>
    </row>
    <row r="228" spans="1:45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12"/>
      <c r="AK228" s="12"/>
      <c r="AL228" s="6"/>
      <c r="AM228" s="6"/>
      <c r="AN228" s="6"/>
      <c r="AO228" s="6"/>
      <c r="AP228" s="6"/>
      <c r="AQ228" s="6"/>
      <c r="AR228" s="6"/>
      <c r="AS228" s="6"/>
    </row>
    <row r="229" spans="1:45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12"/>
      <c r="AK229" s="12"/>
      <c r="AL229" s="6"/>
      <c r="AM229" s="6"/>
      <c r="AN229" s="6"/>
      <c r="AO229" s="6"/>
      <c r="AP229" s="6"/>
      <c r="AQ229" s="6"/>
      <c r="AR229" s="6"/>
      <c r="AS229" s="6"/>
    </row>
    <row r="230" spans="1:45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12"/>
      <c r="AK230" s="12"/>
      <c r="AL230" s="6"/>
      <c r="AM230" s="6"/>
      <c r="AN230" s="6"/>
      <c r="AO230" s="6"/>
      <c r="AP230" s="6"/>
      <c r="AQ230" s="6"/>
      <c r="AR230" s="6"/>
      <c r="AS230" s="6"/>
    </row>
    <row r="231" spans="1:45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12"/>
      <c r="AK231" s="12"/>
      <c r="AL231" s="6"/>
      <c r="AM231" s="6"/>
      <c r="AN231" s="6"/>
      <c r="AO231" s="6"/>
      <c r="AP231" s="6"/>
      <c r="AQ231" s="6"/>
      <c r="AR231" s="6"/>
      <c r="AS231" s="6"/>
    </row>
    <row r="232" spans="1:45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12"/>
      <c r="AK232" s="12"/>
      <c r="AL232" s="6"/>
      <c r="AM232" s="6"/>
      <c r="AN232" s="6"/>
      <c r="AO232" s="6"/>
      <c r="AP232" s="6"/>
      <c r="AQ232" s="6"/>
      <c r="AR232" s="6"/>
      <c r="AS232" s="6"/>
    </row>
    <row r="233" spans="1:45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12"/>
      <c r="AK233" s="12"/>
      <c r="AL233" s="6"/>
      <c r="AM233" s="6"/>
      <c r="AN233" s="6"/>
      <c r="AO233" s="6"/>
      <c r="AP233" s="6"/>
      <c r="AQ233" s="6"/>
      <c r="AR233" s="6"/>
      <c r="AS233" s="6"/>
    </row>
    <row r="234" spans="1:45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12"/>
      <c r="AK234" s="12"/>
      <c r="AL234" s="6"/>
      <c r="AM234" s="6"/>
      <c r="AN234" s="6"/>
      <c r="AO234" s="6"/>
      <c r="AP234" s="6"/>
      <c r="AQ234" s="6"/>
      <c r="AR234" s="6"/>
      <c r="AS234" s="6"/>
    </row>
    <row r="235" spans="1:4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12"/>
      <c r="AK235" s="12"/>
      <c r="AL235" s="6"/>
      <c r="AM235" s="6"/>
      <c r="AN235" s="6"/>
      <c r="AO235" s="6"/>
      <c r="AP235" s="6"/>
      <c r="AQ235" s="6"/>
      <c r="AR235" s="6"/>
      <c r="AS235" s="6"/>
    </row>
    <row r="236" spans="1:45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12"/>
      <c r="AK236" s="12"/>
      <c r="AL236" s="6"/>
      <c r="AM236" s="6"/>
      <c r="AN236" s="6"/>
      <c r="AO236" s="6"/>
      <c r="AP236" s="6"/>
      <c r="AQ236" s="6"/>
      <c r="AR236" s="6"/>
      <c r="AS236" s="6"/>
    </row>
    <row r="237" spans="1:45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12"/>
      <c r="AK237" s="12"/>
      <c r="AL237" s="6"/>
      <c r="AM237" s="6"/>
      <c r="AN237" s="6"/>
      <c r="AO237" s="6"/>
      <c r="AP237" s="6"/>
      <c r="AQ237" s="6"/>
      <c r="AR237" s="6"/>
      <c r="AS237" s="6"/>
    </row>
    <row r="238" spans="1:45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12"/>
      <c r="AK238" s="12"/>
      <c r="AL238" s="6"/>
      <c r="AM238" s="6"/>
      <c r="AN238" s="6"/>
      <c r="AO238" s="6"/>
      <c r="AP238" s="6"/>
      <c r="AQ238" s="6"/>
      <c r="AR238" s="6"/>
      <c r="AS238" s="6"/>
    </row>
    <row r="239" spans="1:45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12"/>
      <c r="AK239" s="12"/>
      <c r="AL239" s="6"/>
      <c r="AM239" s="6"/>
      <c r="AN239" s="6"/>
      <c r="AO239" s="6"/>
      <c r="AP239" s="6"/>
      <c r="AQ239" s="6"/>
      <c r="AR239" s="6"/>
      <c r="AS239" s="6"/>
    </row>
    <row r="240" spans="1:45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12"/>
      <c r="AK240" s="12"/>
      <c r="AL240" s="6"/>
      <c r="AM240" s="6"/>
      <c r="AN240" s="6"/>
      <c r="AO240" s="6"/>
      <c r="AP240" s="6"/>
      <c r="AQ240" s="6"/>
      <c r="AR240" s="6"/>
      <c r="AS240" s="6"/>
    </row>
    <row r="241" spans="1:45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2"/>
      <c r="AK241" s="12"/>
      <c r="AL241" s="6"/>
      <c r="AM241" s="6"/>
      <c r="AN241" s="6"/>
      <c r="AO241" s="6"/>
      <c r="AP241" s="6"/>
      <c r="AQ241" s="6"/>
      <c r="AR241" s="6"/>
      <c r="AS241" s="6"/>
    </row>
    <row r="242" spans="1:45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2"/>
      <c r="AK242" s="12"/>
      <c r="AL242" s="6"/>
      <c r="AM242" s="6"/>
      <c r="AN242" s="6"/>
      <c r="AO242" s="6"/>
      <c r="AP242" s="6"/>
      <c r="AQ242" s="6"/>
      <c r="AR242" s="6"/>
      <c r="AS242" s="6"/>
    </row>
    <row r="243" spans="1:45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2"/>
      <c r="AK243" s="12"/>
      <c r="AL243" s="6"/>
      <c r="AM243" s="6"/>
      <c r="AN243" s="6"/>
      <c r="AO243" s="6"/>
      <c r="AP243" s="6"/>
      <c r="AQ243" s="6"/>
      <c r="AR243" s="6"/>
      <c r="AS243" s="6"/>
    </row>
    <row r="244" spans="1:45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2"/>
      <c r="AK244" s="12"/>
      <c r="AL244" s="6"/>
      <c r="AM244" s="6"/>
      <c r="AN244" s="6"/>
      <c r="AO244" s="6"/>
      <c r="AP244" s="6"/>
      <c r="AQ244" s="6"/>
      <c r="AR244" s="6"/>
      <c r="AS244" s="6"/>
    </row>
    <row r="245" spans="1: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2"/>
      <c r="AK245" s="12"/>
      <c r="AL245" s="6"/>
      <c r="AM245" s="6"/>
      <c r="AN245" s="6"/>
      <c r="AO245" s="6"/>
      <c r="AP245" s="6"/>
      <c r="AQ245" s="6"/>
      <c r="AR245" s="6"/>
      <c r="AS245" s="6"/>
    </row>
    <row r="246" spans="1:45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2"/>
      <c r="AK246" s="12"/>
      <c r="AL246" s="6"/>
      <c r="AM246" s="6"/>
      <c r="AN246" s="6"/>
      <c r="AO246" s="6"/>
      <c r="AP246" s="6"/>
      <c r="AQ246" s="6"/>
      <c r="AR246" s="6"/>
      <c r="AS246" s="6"/>
    </row>
    <row r="247" spans="1:45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12"/>
      <c r="AK247" s="12"/>
      <c r="AL247" s="6"/>
      <c r="AM247" s="6"/>
      <c r="AN247" s="6"/>
      <c r="AO247" s="6"/>
      <c r="AP247" s="6"/>
      <c r="AQ247" s="6"/>
      <c r="AR247" s="6"/>
      <c r="AS247" s="6"/>
    </row>
    <row r="248" spans="1:45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12"/>
      <c r="AK248" s="12"/>
      <c r="AL248" s="6"/>
      <c r="AM248" s="6"/>
      <c r="AN248" s="6"/>
      <c r="AO248" s="6"/>
      <c r="AP248" s="6"/>
      <c r="AQ248" s="6"/>
      <c r="AR248" s="6"/>
      <c r="AS248" s="6"/>
    </row>
    <row r="249" spans="1:45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12"/>
      <c r="AK249" s="12"/>
      <c r="AL249" s="6"/>
      <c r="AM249" s="6"/>
      <c r="AN249" s="6"/>
      <c r="AO249" s="6"/>
      <c r="AP249" s="6"/>
      <c r="AQ249" s="6"/>
      <c r="AR249" s="6"/>
      <c r="AS249" s="6"/>
    </row>
    <row r="250" spans="1:45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12"/>
      <c r="AK250" s="12"/>
      <c r="AL250" s="6"/>
      <c r="AM250" s="6"/>
      <c r="AN250" s="6"/>
      <c r="AO250" s="6"/>
      <c r="AP250" s="6"/>
      <c r="AQ250" s="6"/>
      <c r="AR250" s="6"/>
      <c r="AS250" s="6"/>
    </row>
    <row r="251" spans="1:45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12"/>
      <c r="AK251" s="12"/>
      <c r="AL251" s="6"/>
      <c r="AM251" s="6"/>
      <c r="AN251" s="6"/>
      <c r="AO251" s="6"/>
      <c r="AP251" s="6"/>
      <c r="AQ251" s="6"/>
      <c r="AR251" s="6"/>
      <c r="AS251" s="6"/>
    </row>
    <row r="252" spans="1:45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2"/>
      <c r="AK252" s="12"/>
      <c r="AL252" s="6"/>
      <c r="AM252" s="6"/>
      <c r="AN252" s="6"/>
      <c r="AO252" s="6"/>
      <c r="AP252" s="6"/>
      <c r="AQ252" s="6"/>
      <c r="AR252" s="6"/>
      <c r="AS252" s="6"/>
    </row>
    <row r="253" spans="1:45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2"/>
      <c r="AK253" s="12"/>
      <c r="AL253" s="6"/>
      <c r="AM253" s="6"/>
      <c r="AN253" s="6"/>
      <c r="AO253" s="6"/>
      <c r="AP253" s="6"/>
      <c r="AQ253" s="6"/>
      <c r="AR253" s="6"/>
      <c r="AS253" s="6"/>
    </row>
    <row r="254" spans="1:45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2"/>
      <c r="AK254" s="12"/>
      <c r="AL254" s="6"/>
      <c r="AM254" s="6"/>
      <c r="AN254" s="6"/>
      <c r="AO254" s="6"/>
      <c r="AP254" s="6"/>
      <c r="AQ254" s="6"/>
      <c r="AR254" s="6"/>
      <c r="AS254" s="6"/>
    </row>
    <row r="255" spans="1:4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2"/>
      <c r="AK255" s="12"/>
      <c r="AL255" s="6"/>
      <c r="AM255" s="6"/>
      <c r="AN255" s="6"/>
      <c r="AO255" s="6"/>
      <c r="AP255" s="6"/>
      <c r="AQ255" s="6"/>
      <c r="AR255" s="6"/>
      <c r="AS255" s="6"/>
    </row>
    <row r="256" spans="1:45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2"/>
      <c r="AK256" s="12"/>
      <c r="AL256" s="6"/>
      <c r="AM256" s="6"/>
      <c r="AN256" s="6"/>
      <c r="AO256" s="6"/>
      <c r="AP256" s="6"/>
      <c r="AQ256" s="6"/>
      <c r="AR256" s="6"/>
      <c r="AS256" s="6"/>
    </row>
    <row r="257" spans="1:45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2"/>
      <c r="AK257" s="12"/>
      <c r="AL257" s="6"/>
      <c r="AM257" s="6"/>
      <c r="AN257" s="6"/>
      <c r="AO257" s="6"/>
      <c r="AP257" s="6"/>
      <c r="AQ257" s="6"/>
      <c r="AR257" s="6"/>
      <c r="AS257" s="6"/>
    </row>
    <row r="258" spans="1:45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2"/>
      <c r="AK258" s="12"/>
      <c r="AL258" s="6"/>
      <c r="AM258" s="6"/>
      <c r="AN258" s="6"/>
      <c r="AO258" s="6"/>
      <c r="AP258" s="6"/>
      <c r="AQ258" s="6"/>
      <c r="AR258" s="6"/>
      <c r="AS258" s="6"/>
    </row>
    <row r="259" spans="1:45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12"/>
      <c r="AK259" s="12"/>
      <c r="AL259" s="6"/>
      <c r="AM259" s="6"/>
      <c r="AN259" s="6"/>
      <c r="AO259" s="6"/>
      <c r="AP259" s="6"/>
      <c r="AQ259" s="6"/>
      <c r="AR259" s="6"/>
      <c r="AS259" s="6"/>
    </row>
    <row r="260" spans="1:45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12"/>
      <c r="AK260" s="12"/>
      <c r="AL260" s="6"/>
      <c r="AM260" s="6"/>
      <c r="AN260" s="6"/>
      <c r="AO260" s="6"/>
      <c r="AP260" s="6"/>
      <c r="AQ260" s="6"/>
      <c r="AR260" s="6"/>
      <c r="AS260" s="6"/>
    </row>
    <row r="261" spans="1:45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2"/>
      <c r="AK261" s="12"/>
      <c r="AL261" s="6"/>
      <c r="AM261" s="6"/>
      <c r="AN261" s="6"/>
      <c r="AO261" s="6"/>
      <c r="AP261" s="6"/>
      <c r="AQ261" s="6"/>
      <c r="AR261" s="6"/>
      <c r="AS261" s="6"/>
    </row>
    <row r="262" spans="1:45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12"/>
      <c r="AK262" s="12"/>
      <c r="AL262" s="6"/>
      <c r="AM262" s="6"/>
      <c r="AN262" s="6"/>
      <c r="AO262" s="6"/>
      <c r="AP262" s="6"/>
      <c r="AQ262" s="6"/>
      <c r="AR262" s="6"/>
      <c r="AS262" s="6"/>
    </row>
    <row r="263" spans="1:45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12"/>
      <c r="AK263" s="12"/>
      <c r="AL263" s="6"/>
      <c r="AM263" s="6"/>
      <c r="AN263" s="6"/>
      <c r="AO263" s="6"/>
      <c r="AP263" s="6"/>
      <c r="AQ263" s="6"/>
      <c r="AR263" s="6"/>
      <c r="AS263" s="6"/>
    </row>
    <row r="264" spans="1:45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12"/>
      <c r="AK264" s="12"/>
      <c r="AL264" s="6"/>
      <c r="AM264" s="6"/>
      <c r="AN264" s="6"/>
      <c r="AO264" s="6"/>
      <c r="AP264" s="6"/>
      <c r="AQ264" s="6"/>
      <c r="AR264" s="6"/>
      <c r="AS264" s="6"/>
    </row>
    <row r="265" spans="1:4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12"/>
      <c r="AK265" s="12"/>
      <c r="AL265" s="6"/>
      <c r="AM265" s="6"/>
      <c r="AN265" s="6"/>
      <c r="AO265" s="6"/>
      <c r="AP265" s="6"/>
      <c r="AQ265" s="6"/>
      <c r="AR265" s="6"/>
      <c r="AS265" s="6"/>
    </row>
    <row r="266" spans="1:45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12"/>
      <c r="AK266" s="12"/>
      <c r="AL266" s="6"/>
      <c r="AM266" s="6"/>
      <c r="AN266" s="6"/>
      <c r="AO266" s="6"/>
      <c r="AP266" s="6"/>
      <c r="AQ266" s="6"/>
      <c r="AR266" s="6"/>
      <c r="AS266" s="6"/>
    </row>
    <row r="267" spans="1:45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12"/>
      <c r="AK267" s="12"/>
      <c r="AL267" s="6"/>
      <c r="AM267" s="6"/>
      <c r="AN267" s="6"/>
      <c r="AO267" s="6"/>
      <c r="AP267" s="6"/>
      <c r="AQ267" s="6"/>
      <c r="AR267" s="6"/>
      <c r="AS267" s="6"/>
    </row>
    <row r="268" spans="1:45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12"/>
      <c r="AK268" s="12"/>
      <c r="AL268" s="6"/>
      <c r="AM268" s="6"/>
      <c r="AN268" s="6"/>
      <c r="AO268" s="6"/>
      <c r="AP268" s="6"/>
      <c r="AQ268" s="6"/>
      <c r="AR268" s="6"/>
      <c r="AS268" s="6"/>
    </row>
    <row r="269" spans="1:45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12"/>
      <c r="AK269" s="12"/>
      <c r="AL269" s="6"/>
      <c r="AM269" s="6"/>
      <c r="AN269" s="6"/>
      <c r="AO269" s="6"/>
      <c r="AP269" s="6"/>
      <c r="AQ269" s="6"/>
      <c r="AR269" s="6"/>
      <c r="AS269" s="6"/>
    </row>
    <row r="270" spans="1:45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12"/>
      <c r="AK270" s="12"/>
      <c r="AL270" s="6"/>
      <c r="AM270" s="6"/>
      <c r="AN270" s="6"/>
      <c r="AO270" s="6"/>
      <c r="AP270" s="6"/>
      <c r="AQ270" s="6"/>
      <c r="AR270" s="6"/>
      <c r="AS270" s="6"/>
    </row>
    <row r="271" spans="1:45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12"/>
      <c r="AK271" s="12"/>
      <c r="AL271" s="6"/>
      <c r="AM271" s="6"/>
      <c r="AN271" s="6"/>
      <c r="AO271" s="6"/>
      <c r="AP271" s="6"/>
      <c r="AQ271" s="6"/>
      <c r="AR271" s="6"/>
      <c r="AS271" s="6"/>
    </row>
    <row r="272" spans="1:45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12"/>
      <c r="AK272" s="12"/>
      <c r="AL272" s="6"/>
      <c r="AM272" s="6"/>
      <c r="AN272" s="6"/>
      <c r="AO272" s="6"/>
      <c r="AP272" s="6"/>
      <c r="AQ272" s="6"/>
      <c r="AR272" s="6"/>
      <c r="AS272" s="6"/>
    </row>
    <row r="273" spans="1:45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12"/>
      <c r="AK273" s="12"/>
      <c r="AL273" s="6"/>
      <c r="AM273" s="6"/>
      <c r="AN273" s="6"/>
      <c r="AO273" s="6"/>
      <c r="AP273" s="6"/>
      <c r="AQ273" s="6"/>
      <c r="AR273" s="6"/>
      <c r="AS273" s="6"/>
    </row>
    <row r="274" spans="1:45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12"/>
      <c r="AK274" s="12"/>
      <c r="AL274" s="6"/>
      <c r="AM274" s="6"/>
      <c r="AN274" s="6"/>
      <c r="AO274" s="6"/>
      <c r="AP274" s="6"/>
      <c r="AQ274" s="6"/>
      <c r="AR274" s="6"/>
      <c r="AS274" s="6"/>
    </row>
    <row r="275" spans="1:4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12"/>
      <c r="AK275" s="12"/>
      <c r="AL275" s="6"/>
      <c r="AM275" s="6"/>
      <c r="AN275" s="6"/>
      <c r="AO275" s="6"/>
      <c r="AP275" s="6"/>
      <c r="AQ275" s="6"/>
      <c r="AR275" s="6"/>
      <c r="AS275" s="6"/>
    </row>
    <row r="276" spans="1:45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12"/>
      <c r="AK276" s="12"/>
      <c r="AL276" s="6"/>
      <c r="AM276" s="6"/>
      <c r="AN276" s="6"/>
      <c r="AO276" s="6"/>
      <c r="AP276" s="6"/>
      <c r="AQ276" s="6"/>
      <c r="AR276" s="6"/>
      <c r="AS276" s="6"/>
    </row>
    <row r="277" spans="1:45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12"/>
      <c r="AK277" s="12"/>
      <c r="AL277" s="6"/>
      <c r="AM277" s="6"/>
      <c r="AN277" s="6"/>
      <c r="AO277" s="6"/>
      <c r="AP277" s="6"/>
      <c r="AQ277" s="6"/>
      <c r="AR277" s="6"/>
      <c r="AS277" s="6"/>
    </row>
    <row r="278" spans="1:45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12"/>
      <c r="AK278" s="12"/>
      <c r="AL278" s="6"/>
      <c r="AM278" s="6"/>
      <c r="AN278" s="6"/>
      <c r="AO278" s="6"/>
      <c r="AP278" s="6"/>
      <c r="AQ278" s="6"/>
      <c r="AR278" s="6"/>
      <c r="AS278" s="6"/>
    </row>
    <row r="279" spans="1:45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12"/>
      <c r="AK279" s="12"/>
      <c r="AL279" s="6"/>
      <c r="AM279" s="6"/>
      <c r="AN279" s="6"/>
      <c r="AO279" s="6"/>
      <c r="AP279" s="6"/>
      <c r="AQ279" s="6"/>
      <c r="AR279" s="6"/>
      <c r="AS279" s="6"/>
    </row>
    <row r="280" spans="1:45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12"/>
      <c r="AK280" s="12"/>
      <c r="AL280" s="6"/>
      <c r="AM280" s="6"/>
      <c r="AN280" s="6"/>
      <c r="AO280" s="6"/>
      <c r="AP280" s="6"/>
      <c r="AQ280" s="6"/>
      <c r="AR280" s="6"/>
      <c r="AS280" s="6"/>
    </row>
    <row r="281" spans="1:45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12"/>
      <c r="AK281" s="12"/>
      <c r="AL281" s="6"/>
      <c r="AM281" s="6"/>
      <c r="AN281" s="6"/>
      <c r="AO281" s="6"/>
      <c r="AP281" s="6"/>
      <c r="AQ281" s="6"/>
      <c r="AR281" s="6"/>
      <c r="AS281" s="6"/>
    </row>
    <row r="282" spans="1:45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12"/>
      <c r="AK282" s="12"/>
      <c r="AL282" s="6"/>
      <c r="AM282" s="6"/>
      <c r="AN282" s="6"/>
      <c r="AO282" s="6"/>
      <c r="AP282" s="6"/>
      <c r="AQ282" s="6"/>
      <c r="AR282" s="6"/>
      <c r="AS282" s="6"/>
    </row>
    <row r="283" spans="1:45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12"/>
      <c r="AK283" s="12"/>
      <c r="AL283" s="6"/>
      <c r="AM283" s="6"/>
      <c r="AN283" s="6"/>
      <c r="AO283" s="6"/>
      <c r="AP283" s="6"/>
      <c r="AQ283" s="6"/>
      <c r="AR283" s="6"/>
      <c r="AS283" s="6"/>
    </row>
    <row r="284" spans="1:45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12"/>
      <c r="AK284" s="12"/>
      <c r="AL284" s="6"/>
      <c r="AM284" s="6"/>
      <c r="AN284" s="6"/>
      <c r="AO284" s="6"/>
      <c r="AP284" s="6"/>
      <c r="AQ284" s="6"/>
      <c r="AR284" s="6"/>
      <c r="AS284" s="6"/>
    </row>
    <row r="285" spans="1:4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12"/>
      <c r="AK285" s="12"/>
      <c r="AL285" s="6"/>
      <c r="AM285" s="6"/>
      <c r="AN285" s="6"/>
      <c r="AO285" s="6"/>
      <c r="AP285" s="6"/>
      <c r="AQ285" s="6"/>
      <c r="AR285" s="6"/>
      <c r="AS285" s="6"/>
    </row>
    <row r="286" spans="1:45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12"/>
      <c r="AK286" s="12"/>
      <c r="AL286" s="6"/>
      <c r="AM286" s="6"/>
      <c r="AN286" s="6"/>
      <c r="AO286" s="6"/>
      <c r="AP286" s="6"/>
      <c r="AQ286" s="6"/>
      <c r="AR286" s="6"/>
      <c r="AS286" s="6"/>
    </row>
    <row r="287" spans="1:45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12"/>
      <c r="AK287" s="12"/>
      <c r="AL287" s="6"/>
      <c r="AM287" s="6"/>
      <c r="AN287" s="6"/>
      <c r="AO287" s="6"/>
      <c r="AP287" s="6"/>
      <c r="AQ287" s="6"/>
      <c r="AR287" s="6"/>
      <c r="AS287" s="6"/>
    </row>
    <row r="288" spans="1:45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12"/>
      <c r="AK288" s="12"/>
      <c r="AL288" s="6"/>
      <c r="AM288" s="6"/>
      <c r="AN288" s="6"/>
      <c r="AO288" s="6"/>
      <c r="AP288" s="6"/>
      <c r="AQ288" s="6"/>
      <c r="AR288" s="6"/>
      <c r="AS288" s="6"/>
    </row>
    <row r="289" spans="1:45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12"/>
      <c r="AK289" s="12"/>
      <c r="AL289" s="6"/>
      <c r="AM289" s="6"/>
      <c r="AN289" s="6"/>
      <c r="AO289" s="6"/>
      <c r="AP289" s="6"/>
      <c r="AQ289" s="6"/>
      <c r="AR289" s="6"/>
      <c r="AS289" s="6"/>
    </row>
    <row r="290" spans="1:45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12"/>
      <c r="AK290" s="12"/>
      <c r="AL290" s="6"/>
      <c r="AM290" s="6"/>
      <c r="AN290" s="6"/>
      <c r="AO290" s="6"/>
      <c r="AP290" s="6"/>
      <c r="AQ290" s="6"/>
      <c r="AR290" s="6"/>
      <c r="AS290" s="6"/>
    </row>
    <row r="291" spans="1:45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12"/>
      <c r="AK291" s="12"/>
      <c r="AL291" s="6"/>
      <c r="AM291" s="6"/>
      <c r="AN291" s="6"/>
      <c r="AO291" s="6"/>
      <c r="AP291" s="6"/>
      <c r="AQ291" s="6"/>
      <c r="AR291" s="6"/>
      <c r="AS291" s="6"/>
    </row>
    <row r="292" spans="1:45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12"/>
      <c r="AK292" s="12"/>
      <c r="AL292" s="6"/>
      <c r="AM292" s="6"/>
      <c r="AN292" s="6"/>
      <c r="AO292" s="6"/>
      <c r="AP292" s="6"/>
      <c r="AQ292" s="6"/>
      <c r="AR292" s="6"/>
      <c r="AS292" s="6"/>
    </row>
    <row r="293" spans="1:45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12"/>
      <c r="AK293" s="12"/>
      <c r="AL293" s="6"/>
      <c r="AM293" s="6"/>
      <c r="AN293" s="6"/>
      <c r="AO293" s="6"/>
      <c r="AP293" s="6"/>
      <c r="AQ293" s="6"/>
      <c r="AR293" s="6"/>
      <c r="AS293" s="6"/>
    </row>
    <row r="294" spans="1:45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12"/>
      <c r="AK294" s="12"/>
      <c r="AL294" s="6"/>
      <c r="AM294" s="6"/>
      <c r="AN294" s="6"/>
      <c r="AO294" s="6"/>
      <c r="AP294" s="6"/>
      <c r="AQ294" s="6"/>
      <c r="AR294" s="6"/>
      <c r="AS294" s="6"/>
    </row>
    <row r="295" spans="1:4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2"/>
      <c r="AK295" s="12"/>
      <c r="AL295" s="6"/>
      <c r="AM295" s="6"/>
      <c r="AN295" s="6"/>
      <c r="AO295" s="6"/>
      <c r="AP295" s="6"/>
      <c r="AQ295" s="6"/>
      <c r="AR295" s="6"/>
      <c r="AS295" s="6"/>
    </row>
    <row r="296" spans="1:45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2"/>
      <c r="AK296" s="12"/>
      <c r="AL296" s="6"/>
      <c r="AM296" s="6"/>
      <c r="AN296" s="6"/>
      <c r="AO296" s="6"/>
      <c r="AP296" s="6"/>
      <c r="AQ296" s="6"/>
      <c r="AR296" s="6"/>
      <c r="AS296" s="6"/>
    </row>
    <row r="297" spans="1:45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2"/>
      <c r="AK297" s="12"/>
      <c r="AL297" s="6"/>
      <c r="AM297" s="6"/>
      <c r="AN297" s="6"/>
      <c r="AO297" s="6"/>
      <c r="AP297" s="6"/>
      <c r="AQ297" s="6"/>
      <c r="AR297" s="6"/>
      <c r="AS297" s="6"/>
    </row>
    <row r="298" spans="1:45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12"/>
      <c r="AK298" s="12"/>
      <c r="AL298" s="6"/>
      <c r="AM298" s="6"/>
      <c r="AN298" s="6"/>
      <c r="AO298" s="6"/>
      <c r="AP298" s="6"/>
      <c r="AQ298" s="6"/>
      <c r="AR298" s="6"/>
      <c r="AS298" s="6"/>
    </row>
    <row r="299" spans="1:45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12"/>
      <c r="AK299" s="12"/>
      <c r="AL299" s="6"/>
      <c r="AM299" s="6"/>
      <c r="AN299" s="6"/>
      <c r="AO299" s="6"/>
      <c r="AP299" s="6"/>
      <c r="AQ299" s="6"/>
      <c r="AR299" s="6"/>
      <c r="AS299" s="6"/>
    </row>
    <row r="300" spans="1:45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12"/>
      <c r="AK300" s="12"/>
      <c r="AL300" s="6"/>
      <c r="AM300" s="6"/>
      <c r="AN300" s="6"/>
      <c r="AO300" s="6"/>
      <c r="AP300" s="6"/>
      <c r="AQ300" s="6"/>
      <c r="AR300" s="6"/>
      <c r="AS300" s="6"/>
    </row>
    <row r="301" spans="1:45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12"/>
      <c r="AK301" s="12"/>
      <c r="AL301" s="6"/>
      <c r="AM301" s="6"/>
      <c r="AN301" s="6"/>
      <c r="AO301" s="6"/>
      <c r="AP301" s="6"/>
      <c r="AQ301" s="6"/>
      <c r="AR301" s="6"/>
      <c r="AS301" s="6"/>
    </row>
    <row r="302" spans="1:45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12"/>
      <c r="AK302" s="12"/>
      <c r="AL302" s="6"/>
      <c r="AM302" s="6"/>
      <c r="AN302" s="6"/>
      <c r="AO302" s="6"/>
      <c r="AP302" s="6"/>
      <c r="AQ302" s="6"/>
      <c r="AR302" s="6"/>
      <c r="AS302" s="6"/>
    </row>
    <row r="303" spans="1:45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12"/>
      <c r="AK303" s="12"/>
      <c r="AL303" s="6"/>
      <c r="AM303" s="6"/>
      <c r="AN303" s="6"/>
      <c r="AO303" s="6"/>
      <c r="AP303" s="6"/>
      <c r="AQ303" s="6"/>
      <c r="AR303" s="6"/>
      <c r="AS303" s="6"/>
    </row>
    <row r="304" spans="1:45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12"/>
      <c r="AK304" s="12"/>
      <c r="AL304" s="6"/>
      <c r="AM304" s="6"/>
      <c r="AN304" s="6"/>
      <c r="AO304" s="6"/>
      <c r="AP304" s="6"/>
      <c r="AQ304" s="6"/>
      <c r="AR304" s="6"/>
      <c r="AS304" s="6"/>
    </row>
    <row r="305" spans="1:4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12"/>
      <c r="AK305" s="12"/>
      <c r="AL305" s="6"/>
      <c r="AM305" s="6"/>
      <c r="AN305" s="6"/>
      <c r="AO305" s="6"/>
      <c r="AP305" s="6"/>
      <c r="AQ305" s="6"/>
      <c r="AR305" s="6"/>
      <c r="AS305" s="6"/>
    </row>
    <row r="306" spans="1:45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12"/>
      <c r="AK306" s="12"/>
      <c r="AL306" s="6"/>
      <c r="AM306" s="6"/>
      <c r="AN306" s="6"/>
      <c r="AO306" s="6"/>
      <c r="AP306" s="6"/>
      <c r="AQ306" s="6"/>
      <c r="AR306" s="6"/>
      <c r="AS306" s="6"/>
    </row>
    <row r="307" spans="1:45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12"/>
      <c r="AK307" s="12"/>
      <c r="AL307" s="6"/>
      <c r="AM307" s="6"/>
      <c r="AN307" s="6"/>
      <c r="AO307" s="6"/>
      <c r="AP307" s="6"/>
      <c r="AQ307" s="6"/>
      <c r="AR307" s="6"/>
      <c r="AS307" s="6"/>
    </row>
    <row r="308" spans="1:45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12"/>
      <c r="AK308" s="12"/>
      <c r="AL308" s="6"/>
      <c r="AM308" s="6"/>
      <c r="AN308" s="6"/>
      <c r="AO308" s="6"/>
      <c r="AP308" s="6"/>
      <c r="AQ308" s="6"/>
      <c r="AR308" s="6"/>
      <c r="AS308" s="6"/>
    </row>
    <row r="309" spans="1:45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12"/>
      <c r="AK309" s="12"/>
      <c r="AL309" s="6"/>
      <c r="AM309" s="6"/>
      <c r="AN309" s="6"/>
      <c r="AO309" s="6"/>
      <c r="AP309" s="6"/>
      <c r="AQ309" s="6"/>
      <c r="AR309" s="6"/>
      <c r="AS309" s="6"/>
    </row>
    <row r="310" spans="1:45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12"/>
      <c r="AK310" s="12"/>
      <c r="AL310" s="6"/>
      <c r="AM310" s="6"/>
      <c r="AN310" s="6"/>
      <c r="AO310" s="6"/>
      <c r="AP310" s="6"/>
      <c r="AQ310" s="6"/>
      <c r="AR310" s="6"/>
      <c r="AS310" s="6"/>
    </row>
    <row r="311" spans="1:45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12"/>
      <c r="AK311" s="12"/>
      <c r="AL311" s="6"/>
      <c r="AM311" s="6"/>
      <c r="AN311" s="6"/>
      <c r="AO311" s="6"/>
      <c r="AP311" s="6"/>
      <c r="AQ311" s="6"/>
      <c r="AR311" s="6"/>
      <c r="AS311" s="6"/>
    </row>
    <row r="312" spans="1:45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12"/>
      <c r="AK312" s="12"/>
      <c r="AL312" s="6"/>
      <c r="AM312" s="6"/>
      <c r="AN312" s="6"/>
      <c r="AO312" s="6"/>
      <c r="AP312" s="6"/>
      <c r="AQ312" s="6"/>
      <c r="AR312" s="6"/>
      <c r="AS312" s="6"/>
    </row>
    <row r="313" spans="1:45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12"/>
      <c r="AK313" s="12"/>
      <c r="AL313" s="6"/>
      <c r="AM313" s="6"/>
      <c r="AN313" s="6"/>
      <c r="AO313" s="6"/>
      <c r="AP313" s="6"/>
      <c r="AQ313" s="6"/>
      <c r="AR313" s="6"/>
      <c r="AS313" s="6"/>
    </row>
    <row r="314" spans="1:45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12"/>
      <c r="AK314" s="12"/>
      <c r="AL314" s="6"/>
      <c r="AM314" s="6"/>
      <c r="AN314" s="6"/>
      <c r="AO314" s="6"/>
      <c r="AP314" s="6"/>
      <c r="AQ314" s="6"/>
      <c r="AR314" s="6"/>
      <c r="AS314" s="6"/>
    </row>
    <row r="315" spans="1:4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12"/>
      <c r="AK315" s="12"/>
      <c r="AL315" s="6"/>
      <c r="AM315" s="6"/>
      <c r="AN315" s="6"/>
      <c r="AO315" s="6"/>
      <c r="AP315" s="6"/>
      <c r="AQ315" s="6"/>
      <c r="AR315" s="6"/>
      <c r="AS315" s="6"/>
    </row>
    <row r="316" spans="1:45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12"/>
      <c r="AK316" s="12"/>
      <c r="AL316" s="6"/>
      <c r="AM316" s="6"/>
      <c r="AN316" s="6"/>
      <c r="AO316" s="6"/>
      <c r="AP316" s="6"/>
      <c r="AQ316" s="6"/>
      <c r="AR316" s="6"/>
      <c r="AS316" s="6"/>
    </row>
    <row r="317" spans="1:45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12"/>
      <c r="AK317" s="12"/>
      <c r="AL317" s="6"/>
      <c r="AM317" s="6"/>
      <c r="AN317" s="6"/>
      <c r="AO317" s="6"/>
      <c r="AP317" s="6"/>
      <c r="AQ317" s="6"/>
      <c r="AR317" s="6"/>
      <c r="AS317" s="6"/>
    </row>
    <row r="318" spans="1:45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12"/>
      <c r="AK318" s="12"/>
      <c r="AL318" s="6"/>
      <c r="AM318" s="6"/>
      <c r="AN318" s="6"/>
      <c r="AO318" s="6"/>
      <c r="AP318" s="6"/>
      <c r="AQ318" s="6"/>
      <c r="AR318" s="6"/>
      <c r="AS318" s="6"/>
    </row>
    <row r="319" spans="1:45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12"/>
      <c r="AK319" s="12"/>
      <c r="AL319" s="6"/>
      <c r="AM319" s="6"/>
      <c r="AN319" s="6"/>
      <c r="AO319" s="6"/>
      <c r="AP319" s="6"/>
      <c r="AQ319" s="6"/>
      <c r="AR319" s="6"/>
      <c r="AS319" s="6"/>
    </row>
    <row r="320" spans="1:45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12"/>
      <c r="AK320" s="12"/>
      <c r="AL320" s="6"/>
      <c r="AM320" s="6"/>
      <c r="AN320" s="6"/>
      <c r="AO320" s="6"/>
      <c r="AP320" s="6"/>
      <c r="AQ320" s="6"/>
      <c r="AR320" s="6"/>
      <c r="AS320" s="6"/>
    </row>
    <row r="321" spans="1:45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12"/>
      <c r="AK321" s="12"/>
      <c r="AL321" s="6"/>
      <c r="AM321" s="6"/>
      <c r="AN321" s="6"/>
      <c r="AO321" s="6"/>
      <c r="AP321" s="6"/>
      <c r="AQ321" s="6"/>
      <c r="AR321" s="6"/>
      <c r="AS321" s="6"/>
    </row>
    <row r="322" spans="1:45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12"/>
      <c r="AK322" s="12"/>
      <c r="AL322" s="6"/>
      <c r="AM322" s="6"/>
      <c r="AN322" s="6"/>
      <c r="AO322" s="6"/>
      <c r="AP322" s="6"/>
      <c r="AQ322" s="6"/>
      <c r="AR322" s="6"/>
      <c r="AS322" s="6"/>
    </row>
    <row r="323" spans="1:45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12"/>
      <c r="AK323" s="12"/>
      <c r="AL323" s="6"/>
      <c r="AM323" s="6"/>
      <c r="AN323" s="6"/>
      <c r="AO323" s="6"/>
      <c r="AP323" s="6"/>
      <c r="AQ323" s="6"/>
      <c r="AR323" s="6"/>
      <c r="AS323" s="6"/>
    </row>
    <row r="324" spans="1:45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12"/>
      <c r="AK324" s="12"/>
      <c r="AL324" s="6"/>
      <c r="AM324" s="6"/>
      <c r="AN324" s="6"/>
      <c r="AO324" s="6"/>
      <c r="AP324" s="6"/>
      <c r="AQ324" s="6"/>
      <c r="AR324" s="6"/>
      <c r="AS324" s="6"/>
    </row>
    <row r="325" spans="1:4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12"/>
      <c r="AK325" s="12"/>
      <c r="AL325" s="6"/>
      <c r="AM325" s="6"/>
      <c r="AN325" s="6"/>
      <c r="AO325" s="6"/>
      <c r="AP325" s="6"/>
      <c r="AQ325" s="6"/>
      <c r="AR325" s="6"/>
      <c r="AS325" s="6"/>
    </row>
    <row r="326" spans="1:45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12"/>
      <c r="AK326" s="12"/>
      <c r="AL326" s="6"/>
      <c r="AM326" s="6"/>
      <c r="AN326" s="6"/>
      <c r="AO326" s="6"/>
      <c r="AP326" s="6"/>
      <c r="AQ326" s="6"/>
      <c r="AR326" s="6"/>
      <c r="AS326" s="6"/>
    </row>
    <row r="327" spans="1:45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12"/>
      <c r="AK327" s="12"/>
      <c r="AL327" s="6"/>
      <c r="AM327" s="6"/>
      <c r="AN327" s="6"/>
      <c r="AO327" s="6"/>
      <c r="AP327" s="6"/>
      <c r="AQ327" s="6"/>
      <c r="AR327" s="6"/>
      <c r="AS327" s="6"/>
    </row>
    <row r="328" spans="1:45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12"/>
      <c r="AK328" s="12"/>
      <c r="AL328" s="6"/>
      <c r="AM328" s="6"/>
      <c r="AN328" s="6"/>
      <c r="AO328" s="6"/>
      <c r="AP328" s="6"/>
      <c r="AQ328" s="6"/>
      <c r="AR328" s="6"/>
      <c r="AS328" s="6"/>
    </row>
    <row r="329" spans="1:45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12"/>
      <c r="AK329" s="12"/>
      <c r="AL329" s="6"/>
      <c r="AM329" s="6"/>
      <c r="AN329" s="6"/>
      <c r="AO329" s="6"/>
      <c r="AP329" s="6"/>
      <c r="AQ329" s="6"/>
      <c r="AR329" s="6"/>
      <c r="AS329" s="6"/>
    </row>
    <row r="330" spans="1:45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12"/>
      <c r="AK330" s="12"/>
      <c r="AL330" s="6"/>
      <c r="AM330" s="6"/>
      <c r="AN330" s="6"/>
      <c r="AO330" s="6"/>
      <c r="AP330" s="6"/>
      <c r="AQ330" s="6"/>
      <c r="AR330" s="6"/>
      <c r="AS330" s="6"/>
    </row>
    <row r="331" spans="1:45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12"/>
      <c r="AK331" s="12"/>
      <c r="AL331" s="6"/>
      <c r="AM331" s="6"/>
      <c r="AN331" s="6"/>
      <c r="AO331" s="6"/>
      <c r="AP331" s="6"/>
      <c r="AQ331" s="6"/>
      <c r="AR331" s="6"/>
      <c r="AS331" s="6"/>
    </row>
    <row r="332" spans="1:45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12"/>
      <c r="AK332" s="12"/>
      <c r="AL332" s="6"/>
      <c r="AM332" s="6"/>
      <c r="AN332" s="6"/>
      <c r="AO332" s="6"/>
      <c r="AP332" s="6"/>
      <c r="AQ332" s="6"/>
      <c r="AR332" s="6"/>
      <c r="AS332" s="6"/>
    </row>
    <row r="333" spans="1:45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12"/>
      <c r="AK333" s="12"/>
      <c r="AL333" s="6"/>
      <c r="AM333" s="6"/>
      <c r="AN333" s="6"/>
      <c r="AO333" s="6"/>
      <c r="AP333" s="6"/>
      <c r="AQ333" s="6"/>
      <c r="AR333" s="6"/>
      <c r="AS333" s="6"/>
    </row>
    <row r="334" spans="1:45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12"/>
      <c r="AK334" s="12"/>
      <c r="AL334" s="6"/>
      <c r="AM334" s="6"/>
      <c r="AN334" s="6"/>
      <c r="AO334" s="6"/>
      <c r="AP334" s="6"/>
      <c r="AQ334" s="6"/>
      <c r="AR334" s="6"/>
      <c r="AS334" s="6"/>
    </row>
    <row r="335" spans="1:4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12"/>
      <c r="AK335" s="12"/>
      <c r="AL335" s="6"/>
      <c r="AM335" s="6"/>
      <c r="AN335" s="6"/>
      <c r="AO335" s="6"/>
      <c r="AP335" s="6"/>
      <c r="AQ335" s="6"/>
      <c r="AR335" s="6"/>
      <c r="AS335" s="6"/>
    </row>
    <row r="336" spans="1:45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12"/>
      <c r="AK336" s="12"/>
      <c r="AL336" s="6"/>
      <c r="AM336" s="6"/>
      <c r="AN336" s="6"/>
      <c r="AO336" s="6"/>
      <c r="AP336" s="6"/>
      <c r="AQ336" s="6"/>
      <c r="AR336" s="6"/>
      <c r="AS336" s="6"/>
    </row>
    <row r="337" spans="1:45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12"/>
      <c r="AK337" s="12"/>
      <c r="AL337" s="6"/>
      <c r="AM337" s="6"/>
      <c r="AN337" s="6"/>
      <c r="AO337" s="6"/>
      <c r="AP337" s="6"/>
      <c r="AQ337" s="6"/>
      <c r="AR337" s="6"/>
      <c r="AS337" s="6"/>
    </row>
    <row r="338" spans="1:45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12"/>
      <c r="AK338" s="12"/>
      <c r="AL338" s="6"/>
      <c r="AM338" s="6"/>
      <c r="AN338" s="6"/>
      <c r="AO338" s="6"/>
      <c r="AP338" s="6"/>
      <c r="AQ338" s="6"/>
      <c r="AR338" s="6"/>
      <c r="AS338" s="6"/>
    </row>
    <row r="339" spans="1:45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12"/>
      <c r="AK339" s="12"/>
      <c r="AL339" s="6"/>
      <c r="AM339" s="6"/>
      <c r="AN339" s="6"/>
      <c r="AO339" s="6"/>
      <c r="AP339" s="6"/>
      <c r="AQ339" s="6"/>
      <c r="AR339" s="6"/>
      <c r="AS339" s="6"/>
    </row>
    <row r="340" spans="1:45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12"/>
      <c r="AK340" s="12"/>
      <c r="AL340" s="6"/>
      <c r="AM340" s="6"/>
      <c r="AN340" s="6"/>
      <c r="AO340" s="6"/>
      <c r="AP340" s="6"/>
      <c r="AQ340" s="6"/>
      <c r="AR340" s="6"/>
      <c r="AS340" s="6"/>
    </row>
    <row r="341" spans="1:45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12"/>
      <c r="AK341" s="12"/>
      <c r="AL341" s="6"/>
      <c r="AM341" s="6"/>
      <c r="AN341" s="6"/>
      <c r="AO341" s="6"/>
      <c r="AP341" s="6"/>
      <c r="AQ341" s="6"/>
      <c r="AR341" s="6"/>
      <c r="AS341" s="6"/>
    </row>
    <row r="342" spans="1:45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12"/>
      <c r="AK342" s="12"/>
      <c r="AL342" s="6"/>
      <c r="AM342" s="6"/>
      <c r="AN342" s="6"/>
      <c r="AO342" s="6"/>
      <c r="AP342" s="6"/>
      <c r="AQ342" s="6"/>
      <c r="AR342" s="6"/>
      <c r="AS342" s="6"/>
    </row>
    <row r="343" spans="1:45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12"/>
      <c r="AK343" s="12"/>
      <c r="AL343" s="6"/>
      <c r="AM343" s="6"/>
      <c r="AN343" s="6"/>
      <c r="AO343" s="6"/>
      <c r="AP343" s="6"/>
      <c r="AQ343" s="6"/>
      <c r="AR343" s="6"/>
      <c r="AS343" s="6"/>
    </row>
    <row r="344" spans="1:45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12"/>
      <c r="AK344" s="12"/>
      <c r="AL344" s="6"/>
      <c r="AM344" s="6"/>
      <c r="AN344" s="6"/>
      <c r="AO344" s="6"/>
      <c r="AP344" s="6"/>
      <c r="AQ344" s="6"/>
      <c r="AR344" s="6"/>
      <c r="AS344" s="6"/>
    </row>
    <row r="345" spans="1: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12"/>
      <c r="AK345" s="12"/>
      <c r="AL345" s="6"/>
      <c r="AM345" s="6"/>
      <c r="AN345" s="6"/>
      <c r="AO345" s="6"/>
      <c r="AP345" s="6"/>
      <c r="AQ345" s="6"/>
      <c r="AR345" s="6"/>
      <c r="AS345" s="6"/>
    </row>
    <row r="346" spans="1:45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12"/>
      <c r="AK346" s="12"/>
      <c r="AL346" s="6"/>
      <c r="AM346" s="6"/>
      <c r="AN346" s="6"/>
      <c r="AO346" s="6"/>
      <c r="AP346" s="6"/>
      <c r="AQ346" s="6"/>
      <c r="AR346" s="6"/>
      <c r="AS346" s="6"/>
    </row>
    <row r="347" spans="1:45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12"/>
      <c r="AK347" s="12"/>
      <c r="AL347" s="6"/>
      <c r="AM347" s="6"/>
      <c r="AN347" s="6"/>
      <c r="AO347" s="6"/>
      <c r="AP347" s="6"/>
      <c r="AQ347" s="6"/>
      <c r="AR347" s="6"/>
      <c r="AS347" s="6"/>
    </row>
    <row r="348" spans="1:45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12"/>
      <c r="AK348" s="12"/>
      <c r="AL348" s="6"/>
      <c r="AM348" s="6"/>
      <c r="AN348" s="6"/>
      <c r="AO348" s="6"/>
      <c r="AP348" s="6"/>
      <c r="AQ348" s="6"/>
      <c r="AR348" s="6"/>
      <c r="AS348" s="6"/>
    </row>
    <row r="349" spans="1:45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12"/>
      <c r="AK349" s="12"/>
      <c r="AL349" s="6"/>
      <c r="AM349" s="6"/>
      <c r="AN349" s="6"/>
      <c r="AO349" s="6"/>
      <c r="AP349" s="6"/>
      <c r="AQ349" s="6"/>
      <c r="AR349" s="6"/>
      <c r="AS349" s="6"/>
    </row>
    <row r="350" spans="1:45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12"/>
      <c r="AK350" s="12"/>
      <c r="AL350" s="6"/>
      <c r="AM350" s="6"/>
      <c r="AN350" s="6"/>
      <c r="AO350" s="6"/>
      <c r="AP350" s="6"/>
      <c r="AQ350" s="6"/>
      <c r="AR350" s="6"/>
      <c r="AS350" s="6"/>
    </row>
    <row r="351" spans="1:45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12"/>
      <c r="AK351" s="12"/>
      <c r="AL351" s="6"/>
      <c r="AM351" s="6"/>
      <c r="AN351" s="6"/>
      <c r="AO351" s="6"/>
      <c r="AP351" s="6"/>
      <c r="AQ351" s="6"/>
      <c r="AR351" s="6"/>
      <c r="AS351" s="6"/>
    </row>
    <row r="352" spans="1:45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12"/>
      <c r="AK352" s="12"/>
      <c r="AL352" s="6"/>
      <c r="AM352" s="6"/>
      <c r="AN352" s="6"/>
      <c r="AO352" s="6"/>
      <c r="AP352" s="6"/>
      <c r="AQ352" s="6"/>
      <c r="AR352" s="6"/>
      <c r="AS352" s="6"/>
    </row>
    <row r="353" spans="1:45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12"/>
      <c r="AK353" s="12"/>
      <c r="AL353" s="6"/>
      <c r="AM353" s="6"/>
      <c r="AN353" s="6"/>
      <c r="AO353" s="6"/>
      <c r="AP353" s="6"/>
      <c r="AQ353" s="6"/>
      <c r="AR353" s="6"/>
      <c r="AS353" s="6"/>
    </row>
    <row r="354" spans="1:45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12"/>
      <c r="AK354" s="12"/>
      <c r="AL354" s="6"/>
      <c r="AM354" s="6"/>
      <c r="AN354" s="6"/>
      <c r="AO354" s="6"/>
      <c r="AP354" s="6"/>
      <c r="AQ354" s="6"/>
      <c r="AR354" s="6"/>
      <c r="AS354" s="6"/>
    </row>
    <row r="355" spans="1:4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12"/>
      <c r="AK355" s="12"/>
      <c r="AL355" s="6"/>
      <c r="AM355" s="6"/>
      <c r="AN355" s="6"/>
      <c r="AO355" s="6"/>
      <c r="AP355" s="6"/>
      <c r="AQ355" s="6"/>
      <c r="AR355" s="6"/>
      <c r="AS355" s="6"/>
    </row>
    <row r="356" spans="1:45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12"/>
      <c r="AK356" s="12"/>
      <c r="AL356" s="6"/>
      <c r="AM356" s="6"/>
      <c r="AN356" s="6"/>
      <c r="AO356" s="6"/>
      <c r="AP356" s="6"/>
      <c r="AQ356" s="6"/>
      <c r="AR356" s="6"/>
      <c r="AS356" s="6"/>
    </row>
    <row r="357" spans="1:45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12"/>
      <c r="AK357" s="12"/>
      <c r="AL357" s="6"/>
      <c r="AM357" s="6"/>
      <c r="AN357" s="6"/>
      <c r="AO357" s="6"/>
      <c r="AP357" s="6"/>
      <c r="AQ357" s="6"/>
      <c r="AR357" s="6"/>
      <c r="AS357" s="6"/>
    </row>
    <row r="358" spans="1:45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12"/>
      <c r="AK358" s="12"/>
      <c r="AL358" s="6"/>
      <c r="AM358" s="6"/>
      <c r="AN358" s="6"/>
      <c r="AO358" s="6"/>
      <c r="AP358" s="6"/>
      <c r="AQ358" s="6"/>
      <c r="AR358" s="6"/>
      <c r="AS358" s="6"/>
    </row>
    <row r="359" spans="1:45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12"/>
      <c r="AK359" s="12"/>
      <c r="AL359" s="6"/>
      <c r="AM359" s="6"/>
      <c r="AN359" s="6"/>
      <c r="AO359" s="6"/>
      <c r="AP359" s="6"/>
      <c r="AQ359" s="6"/>
      <c r="AR359" s="6"/>
      <c r="AS359" s="6"/>
    </row>
    <row r="360" spans="1:45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12"/>
      <c r="AK360" s="12"/>
      <c r="AL360" s="6"/>
      <c r="AM360" s="6"/>
      <c r="AN360" s="6"/>
      <c r="AO360" s="6"/>
      <c r="AP360" s="6"/>
      <c r="AQ360" s="6"/>
      <c r="AR360" s="6"/>
      <c r="AS360" s="6"/>
    </row>
    <row r="361" spans="1:45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12"/>
      <c r="AK361" s="12"/>
      <c r="AL361" s="6"/>
      <c r="AM361" s="6"/>
      <c r="AN361" s="6"/>
      <c r="AO361" s="6"/>
      <c r="AP361" s="6"/>
      <c r="AQ361" s="6"/>
      <c r="AR361" s="6"/>
      <c r="AS361" s="6"/>
    </row>
    <row r="362" spans="1:45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12"/>
      <c r="AK362" s="12"/>
      <c r="AL362" s="6"/>
      <c r="AM362" s="6"/>
      <c r="AN362" s="6"/>
      <c r="AO362" s="6"/>
      <c r="AP362" s="6"/>
      <c r="AQ362" s="6"/>
      <c r="AR362" s="6"/>
      <c r="AS362" s="6"/>
    </row>
    <row r="363" spans="1:45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12"/>
      <c r="AK363" s="12"/>
      <c r="AL363" s="6"/>
      <c r="AM363" s="6"/>
      <c r="AN363" s="6"/>
      <c r="AO363" s="6"/>
      <c r="AP363" s="6"/>
      <c r="AQ363" s="6"/>
      <c r="AR363" s="6"/>
      <c r="AS363" s="6"/>
    </row>
    <row r="364" spans="1:45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12"/>
      <c r="AK364" s="12"/>
      <c r="AL364" s="6"/>
      <c r="AM364" s="6"/>
      <c r="AN364" s="6"/>
      <c r="AO364" s="6"/>
      <c r="AP364" s="6"/>
      <c r="AQ364" s="6"/>
      <c r="AR364" s="6"/>
      <c r="AS364" s="6"/>
    </row>
    <row r="365" spans="1:4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12"/>
      <c r="AK365" s="12"/>
      <c r="AL365" s="6"/>
      <c r="AM365" s="6"/>
      <c r="AN365" s="6"/>
      <c r="AO365" s="6"/>
      <c r="AP365" s="6"/>
      <c r="AQ365" s="6"/>
      <c r="AR365" s="6"/>
      <c r="AS365" s="6"/>
    </row>
    <row r="366" spans="1:45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12"/>
      <c r="AK366" s="12"/>
      <c r="AL366" s="6"/>
      <c r="AM366" s="6"/>
      <c r="AN366" s="6"/>
      <c r="AO366" s="6"/>
      <c r="AP366" s="6"/>
      <c r="AQ366" s="6"/>
      <c r="AR366" s="6"/>
      <c r="AS366" s="6"/>
    </row>
    <row r="367" spans="1:45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12"/>
      <c r="AK367" s="12"/>
      <c r="AL367" s="6"/>
      <c r="AM367" s="6"/>
      <c r="AN367" s="6"/>
      <c r="AO367" s="6"/>
      <c r="AP367" s="6"/>
      <c r="AQ367" s="6"/>
      <c r="AR367" s="6"/>
      <c r="AS367" s="6"/>
    </row>
    <row r="368" spans="1:45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12"/>
      <c r="AK368" s="12"/>
      <c r="AL368" s="6"/>
      <c r="AM368" s="6"/>
      <c r="AN368" s="6"/>
      <c r="AO368" s="6"/>
      <c r="AP368" s="6"/>
      <c r="AQ368" s="6"/>
      <c r="AR368" s="6"/>
      <c r="AS368" s="6"/>
    </row>
    <row r="369" spans="1:45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12"/>
      <c r="AK369" s="12"/>
      <c r="AL369" s="6"/>
      <c r="AM369" s="6"/>
      <c r="AN369" s="6"/>
      <c r="AO369" s="6"/>
      <c r="AP369" s="6"/>
      <c r="AQ369" s="6"/>
      <c r="AR369" s="6"/>
      <c r="AS369" s="6"/>
    </row>
    <row r="370" spans="1:45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12"/>
      <c r="AK370" s="12"/>
      <c r="AL370" s="6"/>
      <c r="AM370" s="6"/>
      <c r="AN370" s="6"/>
      <c r="AO370" s="6"/>
      <c r="AP370" s="6"/>
      <c r="AQ370" s="6"/>
      <c r="AR370" s="6"/>
      <c r="AS370" s="6"/>
    </row>
    <row r="371" spans="1:45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12"/>
      <c r="AK371" s="12"/>
      <c r="AL371" s="6"/>
      <c r="AM371" s="6"/>
      <c r="AN371" s="6"/>
      <c r="AO371" s="6"/>
      <c r="AP371" s="6"/>
      <c r="AQ371" s="6"/>
      <c r="AR371" s="6"/>
      <c r="AS371" s="6"/>
    </row>
    <row r="372" spans="1:45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12"/>
      <c r="AK372" s="12"/>
      <c r="AL372" s="6"/>
      <c r="AM372" s="6"/>
      <c r="AN372" s="6"/>
      <c r="AO372" s="6"/>
      <c r="AP372" s="6"/>
      <c r="AQ372" s="6"/>
      <c r="AR372" s="6"/>
      <c r="AS372" s="6"/>
    </row>
    <row r="373" spans="1:45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12"/>
      <c r="AK373" s="12"/>
      <c r="AL373" s="6"/>
      <c r="AM373" s="6"/>
      <c r="AN373" s="6"/>
      <c r="AO373" s="6"/>
      <c r="AP373" s="6"/>
      <c r="AQ373" s="6"/>
      <c r="AR373" s="6"/>
      <c r="AS373" s="6"/>
    </row>
    <row r="374" spans="1:45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12"/>
      <c r="AK374" s="12"/>
      <c r="AL374" s="6"/>
      <c r="AM374" s="6"/>
      <c r="AN374" s="6"/>
      <c r="AO374" s="6"/>
      <c r="AP374" s="6"/>
      <c r="AQ374" s="6"/>
      <c r="AR374" s="6"/>
      <c r="AS374" s="6"/>
    </row>
    <row r="375" spans="1:4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12"/>
      <c r="AK375" s="12"/>
      <c r="AL375" s="6"/>
      <c r="AM375" s="6"/>
      <c r="AN375" s="6"/>
      <c r="AO375" s="6"/>
      <c r="AP375" s="6"/>
      <c r="AQ375" s="6"/>
      <c r="AR375" s="6"/>
      <c r="AS375" s="6"/>
    </row>
    <row r="376" spans="1:45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12"/>
      <c r="AK376" s="12"/>
      <c r="AL376" s="6"/>
      <c r="AM376" s="6"/>
      <c r="AN376" s="6"/>
      <c r="AO376" s="6"/>
      <c r="AP376" s="6"/>
      <c r="AQ376" s="6"/>
      <c r="AR376" s="6"/>
      <c r="AS376" s="6"/>
    </row>
    <row r="377" spans="1:45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12"/>
      <c r="AK377" s="12"/>
      <c r="AL377" s="6"/>
      <c r="AM377" s="6"/>
      <c r="AN377" s="6"/>
      <c r="AO377" s="6"/>
      <c r="AP377" s="6"/>
      <c r="AQ377" s="6"/>
      <c r="AR377" s="6"/>
      <c r="AS377" s="6"/>
    </row>
    <row r="378" spans="1:45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12"/>
      <c r="AK378" s="12"/>
      <c r="AL378" s="6"/>
      <c r="AM378" s="6"/>
      <c r="AN378" s="6"/>
      <c r="AO378" s="6"/>
      <c r="AP378" s="6"/>
      <c r="AQ378" s="6"/>
      <c r="AR378" s="6"/>
      <c r="AS378" s="6"/>
    </row>
    <row r="379" spans="1:45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12"/>
      <c r="AK379" s="12"/>
      <c r="AL379" s="6"/>
      <c r="AM379" s="6"/>
      <c r="AN379" s="6"/>
      <c r="AO379" s="6"/>
      <c r="AP379" s="6"/>
      <c r="AQ379" s="6"/>
      <c r="AR379" s="6"/>
      <c r="AS379" s="6"/>
    </row>
    <row r="380" spans="1:45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12"/>
      <c r="AK380" s="12"/>
      <c r="AL380" s="6"/>
      <c r="AM380" s="6"/>
      <c r="AN380" s="6"/>
      <c r="AO380" s="6"/>
      <c r="AP380" s="6"/>
      <c r="AQ380" s="6"/>
      <c r="AR380" s="6"/>
      <c r="AS380" s="6"/>
    </row>
    <row r="381" spans="1:45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12"/>
      <c r="AK381" s="12"/>
      <c r="AL381" s="6"/>
      <c r="AM381" s="6"/>
      <c r="AN381" s="6"/>
      <c r="AO381" s="6"/>
      <c r="AP381" s="6"/>
      <c r="AQ381" s="6"/>
      <c r="AR381" s="6"/>
      <c r="AS381" s="6"/>
    </row>
    <row r="382" spans="1:45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12"/>
      <c r="AK382" s="12"/>
      <c r="AL382" s="6"/>
      <c r="AM382" s="6"/>
      <c r="AN382" s="6"/>
      <c r="AO382" s="6"/>
      <c r="AP382" s="6"/>
      <c r="AQ382" s="6"/>
      <c r="AR382" s="6"/>
      <c r="AS382" s="6"/>
    </row>
    <row r="383" spans="1:45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12"/>
      <c r="AK383" s="12"/>
      <c r="AL383" s="6"/>
      <c r="AM383" s="6"/>
      <c r="AN383" s="6"/>
      <c r="AO383" s="6"/>
      <c r="AP383" s="6"/>
      <c r="AQ383" s="6"/>
      <c r="AR383" s="6"/>
      <c r="AS383" s="6"/>
    </row>
    <row r="384" spans="1:45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12"/>
      <c r="AK384" s="12"/>
      <c r="AL384" s="6"/>
      <c r="AM384" s="6"/>
      <c r="AN384" s="6"/>
      <c r="AO384" s="6"/>
      <c r="AP384" s="6"/>
      <c r="AQ384" s="6"/>
      <c r="AR384" s="6"/>
      <c r="AS384" s="6"/>
    </row>
    <row r="385" spans="1:4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12"/>
      <c r="AK385" s="12"/>
      <c r="AL385" s="6"/>
      <c r="AM385" s="6"/>
      <c r="AN385" s="6"/>
      <c r="AO385" s="6"/>
      <c r="AP385" s="6"/>
      <c r="AQ385" s="6"/>
      <c r="AR385" s="6"/>
      <c r="AS385" s="6"/>
    </row>
    <row r="386" spans="1:45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12"/>
      <c r="AK386" s="12"/>
      <c r="AL386" s="6"/>
      <c r="AM386" s="6"/>
      <c r="AN386" s="6"/>
      <c r="AO386" s="6"/>
      <c r="AP386" s="6"/>
      <c r="AQ386" s="6"/>
      <c r="AR386" s="6"/>
      <c r="AS386" s="6"/>
    </row>
    <row r="387" spans="1:45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12"/>
      <c r="AK387" s="12"/>
      <c r="AL387" s="6"/>
      <c r="AM387" s="6"/>
      <c r="AN387" s="6"/>
      <c r="AO387" s="6"/>
      <c r="AP387" s="6"/>
      <c r="AQ387" s="6"/>
      <c r="AR387" s="6"/>
      <c r="AS387" s="6"/>
    </row>
    <row r="388" spans="1:45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12"/>
      <c r="AK388" s="12"/>
      <c r="AL388" s="6"/>
      <c r="AM388" s="6"/>
      <c r="AN388" s="6"/>
      <c r="AO388" s="6"/>
      <c r="AP388" s="6"/>
      <c r="AQ388" s="6"/>
      <c r="AR388" s="6"/>
      <c r="AS388" s="6"/>
    </row>
    <row r="389" spans="1:45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12"/>
      <c r="AK389" s="12"/>
      <c r="AL389" s="6"/>
      <c r="AM389" s="6"/>
      <c r="AN389" s="6"/>
      <c r="AO389" s="6"/>
      <c r="AP389" s="6"/>
      <c r="AQ389" s="6"/>
      <c r="AR389" s="6"/>
      <c r="AS389" s="6"/>
    </row>
    <row r="390" spans="1:45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12"/>
      <c r="AK390" s="12"/>
      <c r="AL390" s="6"/>
      <c r="AM390" s="6"/>
      <c r="AN390" s="6"/>
      <c r="AO390" s="6"/>
      <c r="AP390" s="6"/>
      <c r="AQ390" s="6"/>
      <c r="AR390" s="6"/>
      <c r="AS390" s="6"/>
    </row>
    <row r="391" spans="1:45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12"/>
      <c r="AK391" s="12"/>
      <c r="AL391" s="6"/>
      <c r="AM391" s="6"/>
      <c r="AN391" s="6"/>
      <c r="AO391" s="6"/>
      <c r="AP391" s="6"/>
      <c r="AQ391" s="6"/>
      <c r="AR391" s="6"/>
      <c r="AS391" s="6"/>
    </row>
    <row r="392" spans="1:45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12"/>
      <c r="AK392" s="12"/>
      <c r="AL392" s="6"/>
      <c r="AM392" s="6"/>
      <c r="AN392" s="6"/>
      <c r="AO392" s="6"/>
      <c r="AP392" s="6"/>
      <c r="AQ392" s="6"/>
      <c r="AR392" s="6"/>
      <c r="AS392" s="6"/>
    </row>
    <row r="393" spans="1:45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12"/>
      <c r="AK393" s="12"/>
      <c r="AL393" s="6"/>
      <c r="AM393" s="6"/>
      <c r="AN393" s="6"/>
      <c r="AO393" s="6"/>
      <c r="AP393" s="6"/>
      <c r="AQ393" s="6"/>
      <c r="AR393" s="6"/>
      <c r="AS393" s="6"/>
    </row>
    <row r="394" spans="1:45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12"/>
      <c r="AK394" s="12"/>
      <c r="AL394" s="6"/>
      <c r="AM394" s="6"/>
      <c r="AN394" s="6"/>
      <c r="AO394" s="6"/>
      <c r="AP394" s="6"/>
      <c r="AQ394" s="6"/>
      <c r="AR394" s="6"/>
      <c r="AS394" s="6"/>
    </row>
    <row r="395" spans="1:4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12"/>
      <c r="AK395" s="12"/>
      <c r="AL395" s="6"/>
      <c r="AM395" s="6"/>
      <c r="AN395" s="6"/>
      <c r="AO395" s="6"/>
      <c r="AP395" s="6"/>
      <c r="AQ395" s="6"/>
      <c r="AR395" s="6"/>
      <c r="AS395" s="6"/>
    </row>
    <row r="396" spans="1:45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12"/>
      <c r="AK396" s="12"/>
      <c r="AL396" s="6"/>
      <c r="AM396" s="6"/>
      <c r="AN396" s="6"/>
      <c r="AO396" s="6"/>
      <c r="AP396" s="6"/>
      <c r="AQ396" s="6"/>
      <c r="AR396" s="6"/>
      <c r="AS396" s="6"/>
    </row>
    <row r="397" spans="1:45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12"/>
      <c r="AK397" s="12"/>
      <c r="AL397" s="6"/>
      <c r="AM397" s="6"/>
      <c r="AN397" s="6"/>
      <c r="AO397" s="6"/>
      <c r="AP397" s="6"/>
      <c r="AQ397" s="6"/>
      <c r="AR397" s="6"/>
      <c r="AS397" s="6"/>
    </row>
    <row r="398" spans="1:45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12"/>
      <c r="AK398" s="12"/>
      <c r="AL398" s="6"/>
      <c r="AM398" s="6"/>
      <c r="AN398" s="6"/>
      <c r="AO398" s="6"/>
      <c r="AP398" s="6"/>
      <c r="AQ398" s="6"/>
      <c r="AR398" s="6"/>
      <c r="AS398" s="6"/>
    </row>
    <row r="399" spans="1:45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12"/>
      <c r="AK399" s="12"/>
      <c r="AL399" s="6"/>
      <c r="AM399" s="6"/>
      <c r="AN399" s="6"/>
      <c r="AO399" s="6"/>
      <c r="AP399" s="6"/>
      <c r="AQ399" s="6"/>
      <c r="AR399" s="6"/>
      <c r="AS399" s="6"/>
    </row>
    <row r="400" spans="1:45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12"/>
      <c r="AK400" s="12"/>
      <c r="AL400" s="6"/>
      <c r="AM400" s="6"/>
      <c r="AN400" s="6"/>
      <c r="AO400" s="6"/>
      <c r="AP400" s="6"/>
      <c r="AQ400" s="6"/>
      <c r="AR400" s="6"/>
      <c r="AS400" s="6"/>
    </row>
    <row r="401" spans="1:45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12"/>
      <c r="AK401" s="12"/>
      <c r="AL401" s="6"/>
      <c r="AM401" s="6"/>
      <c r="AN401" s="6"/>
      <c r="AO401" s="6"/>
      <c r="AP401" s="6"/>
      <c r="AQ401" s="6"/>
      <c r="AR401" s="6"/>
      <c r="AS401" s="6"/>
    </row>
    <row r="402" spans="1:45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12"/>
      <c r="AK402" s="12"/>
      <c r="AL402" s="6"/>
      <c r="AM402" s="6"/>
      <c r="AN402" s="6"/>
      <c r="AO402" s="6"/>
      <c r="AP402" s="6"/>
      <c r="AQ402" s="6"/>
      <c r="AR402" s="6"/>
      <c r="AS402" s="6"/>
    </row>
    <row r="403" spans="1:45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12"/>
      <c r="AK403" s="12"/>
      <c r="AL403" s="6"/>
      <c r="AM403" s="6"/>
      <c r="AN403" s="6"/>
      <c r="AO403" s="6"/>
      <c r="AP403" s="6"/>
      <c r="AQ403" s="6"/>
      <c r="AR403" s="6"/>
      <c r="AS403" s="6"/>
    </row>
    <row r="404" spans="1:45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12"/>
      <c r="AK404" s="12"/>
      <c r="AL404" s="6"/>
      <c r="AM404" s="6"/>
      <c r="AN404" s="6"/>
      <c r="AO404" s="6"/>
      <c r="AP404" s="6"/>
      <c r="AQ404" s="6"/>
      <c r="AR404" s="6"/>
      <c r="AS404" s="6"/>
    </row>
    <row r="405" spans="1:4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12"/>
      <c r="AK405" s="12"/>
      <c r="AL405" s="6"/>
      <c r="AM405" s="6"/>
      <c r="AN405" s="6"/>
      <c r="AO405" s="6"/>
      <c r="AP405" s="6"/>
      <c r="AQ405" s="6"/>
      <c r="AR405" s="6"/>
      <c r="AS405" s="6"/>
    </row>
    <row r="406" spans="1:45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12"/>
      <c r="AK406" s="12"/>
      <c r="AL406" s="6"/>
      <c r="AM406" s="6"/>
      <c r="AN406" s="6"/>
      <c r="AO406" s="6"/>
      <c r="AP406" s="6"/>
      <c r="AQ406" s="6"/>
      <c r="AR406" s="6"/>
      <c r="AS406" s="6"/>
    </row>
    <row r="407" spans="1:45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12"/>
      <c r="AK407" s="12"/>
      <c r="AL407" s="6"/>
      <c r="AM407" s="6"/>
      <c r="AN407" s="6"/>
      <c r="AO407" s="6"/>
      <c r="AP407" s="6"/>
      <c r="AQ407" s="6"/>
      <c r="AR407" s="6"/>
      <c r="AS407" s="6"/>
    </row>
    <row r="408" spans="1:45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12"/>
      <c r="AK408" s="12"/>
      <c r="AL408" s="6"/>
      <c r="AM408" s="6"/>
      <c r="AN408" s="6"/>
      <c r="AO408" s="6"/>
      <c r="AP408" s="6"/>
      <c r="AQ408" s="6"/>
      <c r="AR408" s="6"/>
      <c r="AS408" s="6"/>
    </row>
    <row r="409" spans="1:45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12"/>
      <c r="AK409" s="12"/>
      <c r="AL409" s="6"/>
      <c r="AM409" s="6"/>
      <c r="AN409" s="6"/>
      <c r="AO409" s="6"/>
      <c r="AP409" s="6"/>
      <c r="AQ409" s="6"/>
      <c r="AR409" s="6"/>
      <c r="AS409" s="6"/>
    </row>
    <row r="410" spans="1:45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12"/>
      <c r="AK410" s="12"/>
      <c r="AL410" s="6"/>
      <c r="AM410" s="6"/>
      <c r="AN410" s="6"/>
      <c r="AO410" s="6"/>
      <c r="AP410" s="6"/>
      <c r="AQ410" s="6"/>
      <c r="AR410" s="6"/>
      <c r="AS410" s="6"/>
    </row>
    <row r="411" spans="1:45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12"/>
      <c r="AK411" s="12"/>
      <c r="AL411" s="6"/>
      <c r="AM411" s="6"/>
      <c r="AN411" s="6"/>
      <c r="AO411" s="6"/>
      <c r="AP411" s="6"/>
      <c r="AQ411" s="6"/>
      <c r="AR411" s="6"/>
      <c r="AS411" s="6"/>
    </row>
    <row r="412" spans="1:45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12"/>
      <c r="AK412" s="12"/>
      <c r="AL412" s="6"/>
      <c r="AM412" s="6"/>
      <c r="AN412" s="6"/>
      <c r="AO412" s="6"/>
      <c r="AP412" s="6"/>
      <c r="AQ412" s="6"/>
      <c r="AR412" s="6"/>
      <c r="AS412" s="6"/>
    </row>
    <row r="413" spans="1:45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12"/>
      <c r="AK413" s="12"/>
      <c r="AL413" s="6"/>
      <c r="AM413" s="6"/>
      <c r="AN413" s="6"/>
      <c r="AO413" s="6"/>
      <c r="AP413" s="6"/>
      <c r="AQ413" s="6"/>
      <c r="AR413" s="6"/>
      <c r="AS413" s="6"/>
    </row>
    <row r="414" spans="1:45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12"/>
      <c r="AK414" s="12"/>
      <c r="AL414" s="6"/>
      <c r="AM414" s="6"/>
      <c r="AN414" s="6"/>
      <c r="AO414" s="6"/>
      <c r="AP414" s="6"/>
      <c r="AQ414" s="6"/>
      <c r="AR414" s="6"/>
      <c r="AS414" s="6"/>
    </row>
    <row r="415" spans="1:4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12"/>
      <c r="AK415" s="12"/>
      <c r="AL415" s="6"/>
      <c r="AM415" s="6"/>
      <c r="AN415" s="6"/>
      <c r="AO415" s="6"/>
      <c r="AP415" s="6"/>
      <c r="AQ415" s="6"/>
      <c r="AR415" s="6"/>
      <c r="AS415" s="6"/>
    </row>
    <row r="416" spans="1:45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12"/>
      <c r="AK416" s="12"/>
      <c r="AL416" s="6"/>
      <c r="AM416" s="6"/>
      <c r="AN416" s="6"/>
      <c r="AO416" s="6"/>
      <c r="AP416" s="6"/>
      <c r="AQ416" s="6"/>
      <c r="AR416" s="6"/>
      <c r="AS416" s="6"/>
    </row>
    <row r="417" spans="1:45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12"/>
      <c r="AK417" s="12"/>
      <c r="AL417" s="6"/>
      <c r="AM417" s="6"/>
      <c r="AN417" s="6"/>
      <c r="AO417" s="6"/>
      <c r="AP417" s="6"/>
      <c r="AQ417" s="6"/>
      <c r="AR417" s="6"/>
      <c r="AS417" s="6"/>
    </row>
    <row r="418" spans="1:45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12"/>
      <c r="AK418" s="12"/>
      <c r="AL418" s="6"/>
      <c r="AM418" s="6"/>
      <c r="AN418" s="6"/>
      <c r="AO418" s="6"/>
      <c r="AP418" s="6"/>
      <c r="AQ418" s="6"/>
      <c r="AR418" s="6"/>
      <c r="AS418" s="6"/>
    </row>
    <row r="419" spans="1:45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12"/>
      <c r="AK419" s="12"/>
      <c r="AL419" s="6"/>
      <c r="AM419" s="6"/>
      <c r="AN419" s="6"/>
      <c r="AO419" s="6"/>
      <c r="AP419" s="6"/>
      <c r="AQ419" s="6"/>
      <c r="AR419" s="6"/>
      <c r="AS419" s="6"/>
    </row>
    <row r="420" spans="1:45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12"/>
      <c r="AK420" s="12"/>
      <c r="AL420" s="6"/>
      <c r="AM420" s="6"/>
      <c r="AN420" s="6"/>
      <c r="AO420" s="6"/>
      <c r="AP420" s="6"/>
      <c r="AQ420" s="6"/>
      <c r="AR420" s="6"/>
      <c r="AS420" s="6"/>
    </row>
    <row r="421" spans="1:45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12"/>
      <c r="AK421" s="12"/>
      <c r="AL421" s="6"/>
      <c r="AM421" s="6"/>
      <c r="AN421" s="6"/>
      <c r="AO421" s="6"/>
      <c r="AP421" s="6"/>
      <c r="AQ421" s="6"/>
      <c r="AR421" s="6"/>
      <c r="AS421" s="6"/>
    </row>
    <row r="422" spans="1:45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12"/>
      <c r="AK422" s="12"/>
      <c r="AL422" s="6"/>
      <c r="AM422" s="6"/>
      <c r="AN422" s="6"/>
      <c r="AO422" s="6"/>
      <c r="AP422" s="6"/>
      <c r="AQ422" s="6"/>
      <c r="AR422" s="6"/>
      <c r="AS422" s="6"/>
    </row>
    <row r="423" spans="1:45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12"/>
      <c r="AK423" s="12"/>
      <c r="AL423" s="6"/>
      <c r="AM423" s="6"/>
      <c r="AN423" s="6"/>
      <c r="AO423" s="6"/>
      <c r="AP423" s="6"/>
      <c r="AQ423" s="6"/>
      <c r="AR423" s="6"/>
      <c r="AS423" s="6"/>
    </row>
    <row r="424" spans="1:45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12"/>
      <c r="AK424" s="12"/>
      <c r="AL424" s="6"/>
      <c r="AM424" s="6"/>
      <c r="AN424" s="6"/>
      <c r="AO424" s="6"/>
      <c r="AP424" s="6"/>
      <c r="AQ424" s="6"/>
      <c r="AR424" s="6"/>
      <c r="AS424" s="6"/>
    </row>
    <row r="425" spans="1:4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12"/>
      <c r="AK425" s="12"/>
      <c r="AL425" s="6"/>
      <c r="AM425" s="6"/>
      <c r="AN425" s="6"/>
      <c r="AO425" s="6"/>
      <c r="AP425" s="6"/>
      <c r="AQ425" s="6"/>
      <c r="AR425" s="6"/>
      <c r="AS425" s="6"/>
    </row>
    <row r="426" spans="1:45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12"/>
      <c r="AK426" s="12"/>
      <c r="AL426" s="6"/>
      <c r="AM426" s="6"/>
      <c r="AN426" s="6"/>
      <c r="AO426" s="6"/>
      <c r="AP426" s="6"/>
      <c r="AQ426" s="6"/>
      <c r="AR426" s="6"/>
      <c r="AS426" s="6"/>
    </row>
    <row r="427" spans="1:45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12"/>
      <c r="AK427" s="12"/>
      <c r="AL427" s="6"/>
      <c r="AM427" s="6"/>
      <c r="AN427" s="6"/>
      <c r="AO427" s="6"/>
      <c r="AP427" s="6"/>
      <c r="AQ427" s="6"/>
      <c r="AR427" s="6"/>
      <c r="AS427" s="6"/>
    </row>
    <row r="428" spans="1:45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12"/>
      <c r="AK428" s="12"/>
      <c r="AL428" s="6"/>
      <c r="AM428" s="6"/>
      <c r="AN428" s="6"/>
      <c r="AO428" s="6"/>
      <c r="AP428" s="6"/>
      <c r="AQ428" s="6"/>
      <c r="AR428" s="6"/>
      <c r="AS428" s="6"/>
    </row>
    <row r="429" spans="1:45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12"/>
      <c r="AK429" s="12"/>
      <c r="AL429" s="6"/>
      <c r="AM429" s="6"/>
      <c r="AN429" s="6"/>
      <c r="AO429" s="6"/>
      <c r="AP429" s="6"/>
      <c r="AQ429" s="6"/>
      <c r="AR429" s="6"/>
      <c r="AS429" s="6"/>
    </row>
    <row r="430" spans="1:45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12"/>
      <c r="AK430" s="12"/>
      <c r="AL430" s="6"/>
      <c r="AM430" s="6"/>
      <c r="AN430" s="6"/>
      <c r="AO430" s="6"/>
      <c r="AP430" s="6"/>
      <c r="AQ430" s="6"/>
      <c r="AR430" s="6"/>
      <c r="AS430" s="6"/>
    </row>
    <row r="431" spans="1:45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12"/>
      <c r="AK431" s="12"/>
      <c r="AL431" s="6"/>
      <c r="AM431" s="6"/>
      <c r="AN431" s="6"/>
      <c r="AO431" s="6"/>
      <c r="AP431" s="6"/>
      <c r="AQ431" s="6"/>
      <c r="AR431" s="6"/>
      <c r="AS431" s="6"/>
    </row>
    <row r="432" spans="1:45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12"/>
      <c r="AK432" s="12"/>
      <c r="AL432" s="6"/>
      <c r="AM432" s="6"/>
      <c r="AN432" s="6"/>
      <c r="AO432" s="6"/>
      <c r="AP432" s="6"/>
      <c r="AQ432" s="6"/>
      <c r="AR432" s="6"/>
      <c r="AS432" s="6"/>
    </row>
    <row r="433" spans="1:45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12"/>
      <c r="AK433" s="12"/>
      <c r="AL433" s="6"/>
      <c r="AM433" s="6"/>
      <c r="AN433" s="6"/>
      <c r="AO433" s="6"/>
      <c r="AP433" s="6"/>
      <c r="AQ433" s="6"/>
      <c r="AR433" s="6"/>
      <c r="AS433" s="6"/>
    </row>
    <row r="434" spans="1:45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12"/>
      <c r="AK434" s="12"/>
      <c r="AL434" s="6"/>
      <c r="AM434" s="6"/>
      <c r="AN434" s="6"/>
      <c r="AO434" s="6"/>
      <c r="AP434" s="6"/>
      <c r="AQ434" s="6"/>
      <c r="AR434" s="6"/>
      <c r="AS434" s="6"/>
    </row>
    <row r="435" spans="1:4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12"/>
      <c r="AK435" s="12"/>
      <c r="AL435" s="6"/>
      <c r="AM435" s="6"/>
      <c r="AN435" s="6"/>
      <c r="AO435" s="6"/>
      <c r="AP435" s="6"/>
      <c r="AQ435" s="6"/>
      <c r="AR435" s="6"/>
      <c r="AS435" s="6"/>
    </row>
    <row r="436" spans="1:45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12"/>
      <c r="AK436" s="12"/>
      <c r="AL436" s="6"/>
      <c r="AM436" s="6"/>
      <c r="AN436" s="6"/>
      <c r="AO436" s="6"/>
      <c r="AP436" s="6"/>
      <c r="AQ436" s="6"/>
      <c r="AR436" s="6"/>
      <c r="AS436" s="6"/>
    </row>
    <row r="437" spans="1:45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12"/>
      <c r="AK437" s="12"/>
      <c r="AL437" s="6"/>
      <c r="AM437" s="6"/>
      <c r="AN437" s="6"/>
      <c r="AO437" s="6"/>
      <c r="AP437" s="6"/>
      <c r="AQ437" s="6"/>
      <c r="AR437" s="6"/>
      <c r="AS437" s="6"/>
    </row>
    <row r="438" spans="1:45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12"/>
      <c r="AK438" s="12"/>
      <c r="AL438" s="6"/>
      <c r="AM438" s="6"/>
      <c r="AN438" s="6"/>
      <c r="AO438" s="6"/>
      <c r="AP438" s="6"/>
      <c r="AQ438" s="6"/>
      <c r="AR438" s="6"/>
      <c r="AS438" s="6"/>
    </row>
    <row r="439" spans="1:45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12"/>
      <c r="AK439" s="12"/>
      <c r="AL439" s="6"/>
      <c r="AM439" s="6"/>
      <c r="AN439" s="6"/>
      <c r="AO439" s="6"/>
      <c r="AP439" s="6"/>
      <c r="AQ439" s="6"/>
      <c r="AR439" s="6"/>
      <c r="AS439" s="6"/>
    </row>
    <row r="440" spans="1:45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12"/>
      <c r="AK440" s="12"/>
      <c r="AL440" s="6"/>
      <c r="AM440" s="6"/>
      <c r="AN440" s="6"/>
      <c r="AO440" s="6"/>
      <c r="AP440" s="6"/>
      <c r="AQ440" s="6"/>
      <c r="AR440" s="6"/>
      <c r="AS440" s="6"/>
    </row>
    <row r="441" spans="1:45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12"/>
      <c r="AK441" s="12"/>
      <c r="AL441" s="6"/>
      <c r="AM441" s="6"/>
      <c r="AN441" s="6"/>
      <c r="AO441" s="6"/>
      <c r="AP441" s="6"/>
      <c r="AQ441" s="6"/>
      <c r="AR441" s="6"/>
      <c r="AS441" s="6"/>
    </row>
    <row r="442" spans="1:45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12"/>
      <c r="AK442" s="12"/>
      <c r="AL442" s="6"/>
      <c r="AM442" s="6"/>
      <c r="AN442" s="6"/>
      <c r="AO442" s="6"/>
      <c r="AP442" s="6"/>
      <c r="AQ442" s="6"/>
      <c r="AR442" s="6"/>
      <c r="AS442" s="6"/>
    </row>
    <row r="443" spans="1:45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12"/>
      <c r="AK443" s="12"/>
      <c r="AL443" s="6"/>
      <c r="AM443" s="6"/>
      <c r="AN443" s="6"/>
      <c r="AO443" s="6"/>
      <c r="AP443" s="6"/>
      <c r="AQ443" s="6"/>
      <c r="AR443" s="6"/>
      <c r="AS443" s="6"/>
    </row>
    <row r="444" spans="1:45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12"/>
      <c r="AK444" s="12"/>
      <c r="AL444" s="6"/>
      <c r="AM444" s="6"/>
      <c r="AN444" s="6"/>
      <c r="AO444" s="6"/>
      <c r="AP444" s="6"/>
      <c r="AQ444" s="6"/>
      <c r="AR444" s="6"/>
      <c r="AS444" s="6"/>
    </row>
    <row r="445" spans="1: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12"/>
      <c r="AK445" s="12"/>
      <c r="AL445" s="6"/>
      <c r="AM445" s="6"/>
      <c r="AN445" s="6"/>
      <c r="AO445" s="6"/>
      <c r="AP445" s="6"/>
      <c r="AQ445" s="6"/>
      <c r="AR445" s="6"/>
      <c r="AS445" s="6"/>
    </row>
    <row r="446" spans="1:45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12"/>
      <c r="AK446" s="12"/>
      <c r="AL446" s="6"/>
      <c r="AM446" s="6"/>
      <c r="AN446" s="6"/>
      <c r="AO446" s="6"/>
      <c r="AP446" s="6"/>
      <c r="AQ446" s="6"/>
      <c r="AR446" s="6"/>
      <c r="AS446" s="6"/>
    </row>
    <row r="447" spans="1:45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12"/>
      <c r="AK447" s="12"/>
      <c r="AL447" s="6"/>
      <c r="AM447" s="6"/>
      <c r="AN447" s="6"/>
      <c r="AO447" s="6"/>
      <c r="AP447" s="6"/>
      <c r="AQ447" s="6"/>
      <c r="AR447" s="6"/>
      <c r="AS447" s="6"/>
    </row>
    <row r="448" spans="1:45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12"/>
      <c r="AK448" s="12"/>
      <c r="AL448" s="6"/>
      <c r="AM448" s="6"/>
      <c r="AN448" s="6"/>
      <c r="AO448" s="6"/>
      <c r="AP448" s="6"/>
      <c r="AQ448" s="6"/>
      <c r="AR448" s="6"/>
      <c r="AS448" s="6"/>
    </row>
    <row r="449" spans="1:45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12"/>
      <c r="AK449" s="12"/>
      <c r="AL449" s="6"/>
      <c r="AM449" s="6"/>
      <c r="AN449" s="6"/>
      <c r="AO449" s="6"/>
      <c r="AP449" s="6"/>
      <c r="AQ449" s="6"/>
      <c r="AR449" s="6"/>
      <c r="AS449" s="6"/>
    </row>
    <row r="450" spans="1:45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12"/>
      <c r="AK450" s="12"/>
      <c r="AL450" s="6"/>
      <c r="AM450" s="6"/>
      <c r="AN450" s="6"/>
      <c r="AO450" s="6"/>
      <c r="AP450" s="6"/>
      <c r="AQ450" s="6"/>
      <c r="AR450" s="6"/>
      <c r="AS450" s="6"/>
    </row>
    <row r="451" spans="1:45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12"/>
      <c r="AK451" s="12"/>
      <c r="AL451" s="6"/>
      <c r="AM451" s="6"/>
      <c r="AN451" s="6"/>
      <c r="AO451" s="6"/>
      <c r="AP451" s="6"/>
      <c r="AQ451" s="6"/>
      <c r="AR451" s="6"/>
      <c r="AS451" s="6"/>
    </row>
    <row r="452" spans="1:45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12"/>
      <c r="AK452" s="12"/>
      <c r="AL452" s="6"/>
      <c r="AM452" s="6"/>
      <c r="AN452" s="6"/>
      <c r="AO452" s="6"/>
      <c r="AP452" s="6"/>
      <c r="AQ452" s="6"/>
      <c r="AR452" s="6"/>
      <c r="AS452" s="6"/>
    </row>
    <row r="453" spans="1:45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12"/>
      <c r="AK453" s="12"/>
      <c r="AL453" s="6"/>
      <c r="AM453" s="6"/>
      <c r="AN453" s="6"/>
      <c r="AO453" s="6"/>
      <c r="AP453" s="6"/>
      <c r="AQ453" s="6"/>
      <c r="AR453" s="6"/>
      <c r="AS453" s="6"/>
    </row>
    <row r="454" spans="1:45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12"/>
      <c r="AK454" s="12"/>
      <c r="AL454" s="6"/>
      <c r="AM454" s="6"/>
      <c r="AN454" s="6"/>
      <c r="AO454" s="6"/>
      <c r="AP454" s="6"/>
      <c r="AQ454" s="6"/>
      <c r="AR454" s="6"/>
      <c r="AS454" s="6"/>
    </row>
    <row r="455" spans="1:4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12"/>
      <c r="AK455" s="12"/>
      <c r="AL455" s="6"/>
      <c r="AM455" s="6"/>
      <c r="AN455" s="6"/>
      <c r="AO455" s="6"/>
      <c r="AP455" s="6"/>
      <c r="AQ455" s="6"/>
      <c r="AR455" s="6"/>
      <c r="AS455" s="6"/>
    </row>
    <row r="456" spans="1:45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12"/>
      <c r="AK456" s="12"/>
      <c r="AL456" s="6"/>
      <c r="AM456" s="6"/>
      <c r="AN456" s="6"/>
      <c r="AO456" s="6"/>
      <c r="AP456" s="6"/>
      <c r="AQ456" s="6"/>
      <c r="AR456" s="6"/>
      <c r="AS456" s="6"/>
    </row>
    <row r="457" spans="1:45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12"/>
      <c r="AK457" s="12"/>
      <c r="AL457" s="6"/>
      <c r="AM457" s="6"/>
      <c r="AN457" s="6"/>
      <c r="AO457" s="6"/>
      <c r="AP457" s="6"/>
      <c r="AQ457" s="6"/>
      <c r="AR457" s="6"/>
      <c r="AS457" s="6"/>
    </row>
    <row r="458" spans="1:45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12"/>
      <c r="AK458" s="12"/>
      <c r="AL458" s="6"/>
      <c r="AM458" s="6"/>
      <c r="AN458" s="6"/>
      <c r="AO458" s="6"/>
      <c r="AP458" s="6"/>
      <c r="AQ458" s="6"/>
      <c r="AR458" s="6"/>
      <c r="AS458" s="6"/>
    </row>
    <row r="459" spans="1:45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12"/>
      <c r="AK459" s="12"/>
      <c r="AL459" s="6"/>
      <c r="AM459" s="6"/>
      <c r="AN459" s="6"/>
      <c r="AO459" s="6"/>
      <c r="AP459" s="6"/>
      <c r="AQ459" s="6"/>
      <c r="AR459" s="6"/>
      <c r="AS459" s="6"/>
    </row>
    <row r="460" spans="1:45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12"/>
      <c r="AK460" s="12"/>
      <c r="AL460" s="6"/>
      <c r="AM460" s="6"/>
      <c r="AN460" s="6"/>
      <c r="AO460" s="6"/>
      <c r="AP460" s="6"/>
      <c r="AQ460" s="6"/>
      <c r="AR460" s="6"/>
      <c r="AS460" s="6"/>
    </row>
    <row r="461" spans="1:45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12"/>
      <c r="AK461" s="12"/>
      <c r="AL461" s="6"/>
      <c r="AM461" s="6"/>
      <c r="AN461" s="6"/>
      <c r="AO461" s="6"/>
      <c r="AP461" s="6"/>
      <c r="AQ461" s="6"/>
      <c r="AR461" s="6"/>
      <c r="AS461" s="6"/>
    </row>
    <row r="462" spans="1:45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12"/>
      <c r="AK462" s="12"/>
      <c r="AL462" s="6"/>
      <c r="AM462" s="6"/>
      <c r="AN462" s="6"/>
      <c r="AO462" s="6"/>
      <c r="AP462" s="6"/>
      <c r="AQ462" s="6"/>
      <c r="AR462" s="6"/>
      <c r="AS462" s="6"/>
    </row>
    <row r="463" spans="1:45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12"/>
      <c r="AK463" s="12"/>
      <c r="AL463" s="6"/>
      <c r="AM463" s="6"/>
      <c r="AN463" s="6"/>
      <c r="AO463" s="6"/>
      <c r="AP463" s="6"/>
      <c r="AQ463" s="6"/>
      <c r="AR463" s="6"/>
      <c r="AS463" s="6"/>
    </row>
    <row r="464" spans="1:45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12"/>
      <c r="AK464" s="12"/>
      <c r="AL464" s="6"/>
      <c r="AM464" s="6"/>
      <c r="AN464" s="6"/>
      <c r="AO464" s="6"/>
      <c r="AP464" s="6"/>
      <c r="AQ464" s="6"/>
      <c r="AR464" s="6"/>
      <c r="AS464" s="6"/>
    </row>
    <row r="465" spans="1:4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12"/>
      <c r="AK465" s="12"/>
      <c r="AL465" s="6"/>
      <c r="AM465" s="6"/>
      <c r="AN465" s="6"/>
      <c r="AO465" s="6"/>
      <c r="AP465" s="6"/>
      <c r="AQ465" s="6"/>
      <c r="AR465" s="6"/>
      <c r="AS465" s="6"/>
    </row>
    <row r="466" spans="1:45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12"/>
      <c r="AK466" s="12"/>
      <c r="AL466" s="6"/>
      <c r="AM466" s="6"/>
      <c r="AN466" s="6"/>
      <c r="AO466" s="6"/>
      <c r="AP466" s="6"/>
      <c r="AQ466" s="6"/>
      <c r="AR466" s="6"/>
      <c r="AS466" s="6"/>
    </row>
    <row r="467" spans="1:45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12"/>
      <c r="AK467" s="12"/>
      <c r="AL467" s="6"/>
      <c r="AM467" s="6"/>
      <c r="AN467" s="6"/>
      <c r="AO467" s="6"/>
      <c r="AP467" s="6"/>
      <c r="AQ467" s="6"/>
      <c r="AR467" s="6"/>
      <c r="AS467" s="6"/>
    </row>
    <row r="468" spans="1:45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12"/>
      <c r="AK468" s="12"/>
      <c r="AL468" s="6"/>
      <c r="AM468" s="6"/>
      <c r="AN468" s="6"/>
      <c r="AO468" s="6"/>
      <c r="AP468" s="6"/>
      <c r="AQ468" s="6"/>
      <c r="AR468" s="6"/>
      <c r="AS468" s="6"/>
    </row>
    <row r="469" spans="1:45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12"/>
      <c r="AK469" s="12"/>
      <c r="AL469" s="6"/>
      <c r="AM469" s="6"/>
      <c r="AN469" s="6"/>
      <c r="AO469" s="6"/>
      <c r="AP469" s="6"/>
      <c r="AQ469" s="6"/>
      <c r="AR469" s="6"/>
      <c r="AS469" s="6"/>
    </row>
    <row r="470" spans="1:45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12"/>
      <c r="AK470" s="12"/>
      <c r="AL470" s="6"/>
      <c r="AM470" s="6"/>
      <c r="AN470" s="6"/>
      <c r="AO470" s="6"/>
      <c r="AP470" s="6"/>
      <c r="AQ470" s="6"/>
      <c r="AR470" s="6"/>
      <c r="AS470" s="6"/>
    </row>
    <row r="471" spans="1:45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12"/>
      <c r="AK471" s="12"/>
      <c r="AL471" s="6"/>
      <c r="AM471" s="6"/>
      <c r="AN471" s="6"/>
      <c r="AO471" s="6"/>
      <c r="AP471" s="6"/>
      <c r="AQ471" s="6"/>
      <c r="AR471" s="6"/>
      <c r="AS471" s="6"/>
    </row>
    <row r="472" spans="1:45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12"/>
      <c r="AK472" s="12"/>
      <c r="AL472" s="6"/>
      <c r="AM472" s="6"/>
      <c r="AN472" s="6"/>
      <c r="AO472" s="6"/>
      <c r="AP472" s="6"/>
      <c r="AQ472" s="6"/>
      <c r="AR472" s="6"/>
      <c r="AS472" s="6"/>
    </row>
    <row r="473" spans="1:45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12"/>
      <c r="AK473" s="12"/>
      <c r="AL473" s="6"/>
      <c r="AM473" s="6"/>
      <c r="AN473" s="6"/>
      <c r="AO473" s="6"/>
      <c r="AP473" s="6"/>
      <c r="AQ473" s="6"/>
      <c r="AR473" s="6"/>
      <c r="AS473" s="6"/>
    </row>
    <row r="474" spans="1:45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12"/>
      <c r="AK474" s="12"/>
      <c r="AL474" s="6"/>
      <c r="AM474" s="6"/>
      <c r="AN474" s="6"/>
      <c r="AO474" s="6"/>
      <c r="AP474" s="6"/>
      <c r="AQ474" s="6"/>
      <c r="AR474" s="6"/>
      <c r="AS474" s="6"/>
    </row>
    <row r="475" spans="1:4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12"/>
      <c r="AK475" s="12"/>
      <c r="AL475" s="6"/>
      <c r="AM475" s="6"/>
      <c r="AN475" s="6"/>
      <c r="AO475" s="6"/>
      <c r="AP475" s="6"/>
      <c r="AQ475" s="6"/>
      <c r="AR475" s="6"/>
      <c r="AS475" s="6"/>
    </row>
    <row r="476" spans="1:45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12"/>
      <c r="AK476" s="12"/>
      <c r="AL476" s="6"/>
      <c r="AM476" s="6"/>
      <c r="AN476" s="6"/>
      <c r="AO476" s="6"/>
      <c r="AP476" s="6"/>
      <c r="AQ476" s="6"/>
      <c r="AR476" s="6"/>
      <c r="AS476" s="6"/>
    </row>
    <row r="477" spans="1:45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12"/>
      <c r="AK477" s="12"/>
      <c r="AL477" s="6"/>
      <c r="AM477" s="6"/>
      <c r="AN477" s="6"/>
      <c r="AO477" s="6"/>
      <c r="AP477" s="6"/>
      <c r="AQ477" s="6"/>
      <c r="AR477" s="6"/>
      <c r="AS477" s="6"/>
    </row>
    <row r="478" spans="1:45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12"/>
      <c r="AK478" s="12"/>
      <c r="AL478" s="6"/>
      <c r="AM478" s="6"/>
      <c r="AN478" s="6"/>
      <c r="AO478" s="6"/>
      <c r="AP478" s="6"/>
      <c r="AQ478" s="6"/>
      <c r="AR478" s="6"/>
      <c r="AS478" s="6"/>
    </row>
    <row r="479" spans="1:45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12"/>
      <c r="AK479" s="12"/>
      <c r="AL479" s="6"/>
      <c r="AM479" s="6"/>
      <c r="AN479" s="6"/>
      <c r="AO479" s="6"/>
      <c r="AP479" s="6"/>
      <c r="AQ479" s="6"/>
      <c r="AR479" s="6"/>
      <c r="AS479" s="6"/>
    </row>
    <row r="480" spans="1:45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12"/>
      <c r="AK480" s="12"/>
      <c r="AL480" s="6"/>
      <c r="AM480" s="6"/>
      <c r="AN480" s="6"/>
      <c r="AO480" s="6"/>
      <c r="AP480" s="6"/>
      <c r="AQ480" s="6"/>
      <c r="AR480" s="6"/>
      <c r="AS480" s="6"/>
    </row>
    <row r="481" spans="1:45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12"/>
      <c r="AK481" s="12"/>
      <c r="AL481" s="6"/>
      <c r="AM481" s="6"/>
      <c r="AN481" s="6"/>
      <c r="AO481" s="6"/>
      <c r="AP481" s="6"/>
      <c r="AQ481" s="6"/>
      <c r="AR481" s="6"/>
      <c r="AS481" s="6"/>
    </row>
    <row r="482" spans="1:45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12"/>
      <c r="AK482" s="12"/>
      <c r="AL482" s="6"/>
      <c r="AM482" s="6"/>
      <c r="AN482" s="6"/>
      <c r="AO482" s="6"/>
      <c r="AP482" s="6"/>
      <c r="AQ482" s="6"/>
      <c r="AR482" s="6"/>
      <c r="AS482" s="6"/>
    </row>
    <row r="483" spans="1:45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12"/>
      <c r="AK483" s="12"/>
      <c r="AL483" s="6"/>
      <c r="AM483" s="6"/>
      <c r="AN483" s="6"/>
      <c r="AO483" s="6"/>
      <c r="AP483" s="6"/>
      <c r="AQ483" s="6"/>
      <c r="AR483" s="6"/>
      <c r="AS483" s="6"/>
    </row>
    <row r="484" spans="1:45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12"/>
      <c r="AK484" s="12"/>
      <c r="AL484" s="6"/>
      <c r="AM484" s="6"/>
      <c r="AN484" s="6"/>
      <c r="AO484" s="6"/>
      <c r="AP484" s="6"/>
      <c r="AQ484" s="6"/>
      <c r="AR484" s="6"/>
      <c r="AS484" s="6"/>
    </row>
    <row r="485" spans="1:4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12"/>
      <c r="AK485" s="12"/>
      <c r="AL485" s="6"/>
      <c r="AM485" s="6"/>
      <c r="AN485" s="6"/>
      <c r="AO485" s="6"/>
      <c r="AP485" s="6"/>
      <c r="AQ485" s="6"/>
      <c r="AR485" s="6"/>
      <c r="AS485" s="6"/>
    </row>
    <row r="486" spans="1:45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12"/>
      <c r="AK486" s="12"/>
      <c r="AL486" s="6"/>
      <c r="AM486" s="6"/>
      <c r="AN486" s="6"/>
      <c r="AO486" s="6"/>
      <c r="AP486" s="6"/>
      <c r="AQ486" s="6"/>
      <c r="AR486" s="6"/>
      <c r="AS486" s="6"/>
    </row>
    <row r="487" spans="1:45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12"/>
      <c r="AK487" s="12"/>
      <c r="AL487" s="6"/>
      <c r="AM487" s="6"/>
      <c r="AN487" s="6"/>
      <c r="AO487" s="6"/>
      <c r="AP487" s="6"/>
      <c r="AQ487" s="6"/>
      <c r="AR487" s="6"/>
      <c r="AS487" s="6"/>
    </row>
    <row r="488" spans="1:45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12"/>
      <c r="AK488" s="12"/>
      <c r="AL488" s="6"/>
      <c r="AM488" s="6"/>
      <c r="AN488" s="6"/>
      <c r="AO488" s="6"/>
      <c r="AP488" s="6"/>
      <c r="AQ488" s="6"/>
      <c r="AR488" s="6"/>
      <c r="AS488" s="6"/>
    </row>
    <row r="489" spans="1:45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12"/>
      <c r="AK489" s="12"/>
      <c r="AL489" s="6"/>
      <c r="AM489" s="6"/>
      <c r="AN489" s="6"/>
      <c r="AO489" s="6"/>
      <c r="AP489" s="6"/>
      <c r="AQ489" s="6"/>
      <c r="AR489" s="6"/>
      <c r="AS489" s="6"/>
    </row>
    <row r="490" spans="1:45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12"/>
      <c r="AK490" s="12"/>
      <c r="AL490" s="6"/>
      <c r="AM490" s="6"/>
      <c r="AN490" s="6"/>
      <c r="AO490" s="6"/>
      <c r="AP490" s="6"/>
      <c r="AQ490" s="6"/>
      <c r="AR490" s="6"/>
      <c r="AS490" s="6"/>
    </row>
    <row r="491" spans="1:45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12"/>
      <c r="AK491" s="12"/>
      <c r="AL491" s="6"/>
      <c r="AM491" s="6"/>
      <c r="AN491" s="6"/>
      <c r="AO491" s="6"/>
      <c r="AP491" s="6"/>
      <c r="AQ491" s="6"/>
      <c r="AR491" s="6"/>
      <c r="AS491" s="6"/>
    </row>
    <row r="492" spans="1:45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12"/>
      <c r="AK492" s="12"/>
      <c r="AL492" s="6"/>
      <c r="AM492" s="6"/>
      <c r="AN492" s="6"/>
      <c r="AO492" s="6"/>
      <c r="AP492" s="6"/>
      <c r="AQ492" s="6"/>
      <c r="AR492" s="6"/>
      <c r="AS492" s="6"/>
    </row>
    <row r="493" spans="1:45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12"/>
      <c r="AK493" s="12"/>
      <c r="AL493" s="6"/>
      <c r="AM493" s="6"/>
      <c r="AN493" s="6"/>
      <c r="AO493" s="6"/>
      <c r="AP493" s="6"/>
      <c r="AQ493" s="6"/>
      <c r="AR493" s="6"/>
      <c r="AS493" s="6"/>
    </row>
    <row r="494" spans="1:45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12"/>
      <c r="AK494" s="12"/>
      <c r="AL494" s="6"/>
      <c r="AM494" s="6"/>
      <c r="AN494" s="6"/>
      <c r="AO494" s="6"/>
      <c r="AP494" s="6"/>
      <c r="AQ494" s="6"/>
      <c r="AR494" s="6"/>
      <c r="AS494" s="6"/>
    </row>
    <row r="495" spans="1:4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12"/>
      <c r="AK495" s="12"/>
      <c r="AL495" s="6"/>
      <c r="AM495" s="6"/>
      <c r="AN495" s="6"/>
      <c r="AO495" s="6"/>
      <c r="AP495" s="6"/>
      <c r="AQ495" s="6"/>
      <c r="AR495" s="6"/>
      <c r="AS495" s="6"/>
    </row>
    <row r="496" spans="1:45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12"/>
      <c r="AK496" s="12"/>
      <c r="AL496" s="6"/>
      <c r="AM496" s="6"/>
      <c r="AN496" s="6"/>
      <c r="AO496" s="6"/>
      <c r="AP496" s="6"/>
      <c r="AQ496" s="6"/>
      <c r="AR496" s="6"/>
      <c r="AS496" s="6"/>
    </row>
    <row r="497" spans="1:45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12"/>
      <c r="AK497" s="12"/>
      <c r="AL497" s="6"/>
      <c r="AM497" s="6"/>
      <c r="AN497" s="6"/>
      <c r="AO497" s="6"/>
      <c r="AP497" s="6"/>
      <c r="AQ497" s="6"/>
      <c r="AR497" s="6"/>
      <c r="AS497" s="6"/>
    </row>
    <row r="498" spans="1:45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12"/>
      <c r="AK498" s="12"/>
      <c r="AL498" s="6"/>
      <c r="AM498" s="6"/>
      <c r="AN498" s="6"/>
      <c r="AO498" s="6"/>
      <c r="AP498" s="6"/>
      <c r="AQ498" s="6"/>
      <c r="AR498" s="6"/>
      <c r="AS498" s="6"/>
    </row>
    <row r="499" spans="1:45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12"/>
      <c r="AK499" s="12"/>
      <c r="AL499" s="6"/>
      <c r="AM499" s="6"/>
      <c r="AN499" s="6"/>
      <c r="AO499" s="6"/>
      <c r="AP499" s="6"/>
      <c r="AQ499" s="6"/>
      <c r="AR499" s="6"/>
      <c r="AS499" s="6"/>
    </row>
    <row r="500" spans="1:45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12"/>
      <c r="AK500" s="12"/>
      <c r="AL500" s="6"/>
      <c r="AM500" s="6"/>
      <c r="AN500" s="6"/>
      <c r="AO500" s="6"/>
      <c r="AP500" s="6"/>
      <c r="AQ500" s="6"/>
      <c r="AR500" s="6"/>
      <c r="AS500" s="6"/>
    </row>
    <row r="501" spans="1:45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12"/>
      <c r="AK501" s="12"/>
      <c r="AL501" s="6"/>
      <c r="AM501" s="6"/>
      <c r="AN501" s="6"/>
      <c r="AO501" s="6"/>
      <c r="AP501" s="6"/>
      <c r="AQ501" s="6"/>
      <c r="AR501" s="6"/>
      <c r="AS501" s="6"/>
    </row>
    <row r="502" spans="1:45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12"/>
      <c r="AK502" s="12"/>
      <c r="AL502" s="6"/>
      <c r="AM502" s="6"/>
      <c r="AN502" s="6"/>
      <c r="AO502" s="6"/>
      <c r="AP502" s="6"/>
      <c r="AQ502" s="6"/>
      <c r="AR502" s="6"/>
      <c r="AS502" s="6"/>
    </row>
    <row r="503" spans="1:45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12"/>
      <c r="AK503" s="12"/>
      <c r="AL503" s="6"/>
      <c r="AM503" s="6"/>
      <c r="AN503" s="6"/>
      <c r="AO503" s="6"/>
      <c r="AP503" s="6"/>
      <c r="AQ503" s="6"/>
      <c r="AR503" s="6"/>
      <c r="AS503" s="6"/>
    </row>
    <row r="504" spans="1:45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12"/>
      <c r="AK504" s="12"/>
      <c r="AL504" s="6"/>
      <c r="AM504" s="6"/>
      <c r="AN504" s="6"/>
      <c r="AO504" s="6"/>
      <c r="AP504" s="6"/>
      <c r="AQ504" s="6"/>
      <c r="AR504" s="6"/>
      <c r="AS504" s="6"/>
    </row>
    <row r="505" spans="1:4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12"/>
      <c r="AK505" s="12"/>
      <c r="AL505" s="6"/>
      <c r="AM505" s="6"/>
      <c r="AN505" s="6"/>
      <c r="AO505" s="6"/>
      <c r="AP505" s="6"/>
      <c r="AQ505" s="6"/>
      <c r="AR505" s="6"/>
      <c r="AS505" s="6"/>
    </row>
    <row r="506" spans="1:45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12"/>
      <c r="AK506" s="12"/>
      <c r="AL506" s="6"/>
      <c r="AM506" s="6"/>
      <c r="AN506" s="6"/>
      <c r="AO506" s="6"/>
      <c r="AP506" s="6"/>
      <c r="AQ506" s="6"/>
      <c r="AR506" s="6"/>
      <c r="AS506" s="6"/>
    </row>
    <row r="507" spans="1:45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12"/>
      <c r="AK507" s="12"/>
      <c r="AL507" s="6"/>
      <c r="AM507" s="6"/>
      <c r="AN507" s="6"/>
      <c r="AO507" s="6"/>
      <c r="AP507" s="6"/>
      <c r="AQ507" s="6"/>
      <c r="AR507" s="6"/>
      <c r="AS507" s="6"/>
    </row>
    <row r="508" spans="1:45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12"/>
      <c r="AK508" s="12"/>
      <c r="AL508" s="6"/>
      <c r="AM508" s="6"/>
      <c r="AN508" s="6"/>
      <c r="AO508" s="6"/>
      <c r="AP508" s="6"/>
      <c r="AQ508" s="6"/>
      <c r="AR508" s="6"/>
      <c r="AS508" s="6"/>
    </row>
    <row r="509" spans="1:45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12"/>
      <c r="AK509" s="12"/>
      <c r="AL509" s="6"/>
      <c r="AM509" s="6"/>
      <c r="AN509" s="6"/>
      <c r="AO509" s="6"/>
      <c r="AP509" s="6"/>
      <c r="AQ509" s="6"/>
      <c r="AR509" s="6"/>
      <c r="AS509" s="6"/>
    </row>
    <row r="510" spans="1:45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12"/>
      <c r="AK510" s="12"/>
      <c r="AL510" s="6"/>
      <c r="AM510" s="6"/>
      <c r="AN510" s="6"/>
      <c r="AO510" s="6"/>
      <c r="AP510" s="6"/>
      <c r="AQ510" s="6"/>
      <c r="AR510" s="6"/>
      <c r="AS510" s="6"/>
    </row>
    <row r="511" spans="1:45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12"/>
      <c r="AK511" s="12"/>
      <c r="AL511" s="6"/>
      <c r="AM511" s="6"/>
      <c r="AN511" s="6"/>
      <c r="AO511" s="6"/>
      <c r="AP511" s="6"/>
      <c r="AQ511" s="6"/>
      <c r="AR511" s="6"/>
      <c r="AS511" s="6"/>
    </row>
    <row r="512" spans="1:45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12"/>
      <c r="AK512" s="12"/>
      <c r="AL512" s="6"/>
      <c r="AM512" s="6"/>
      <c r="AN512" s="6"/>
      <c r="AO512" s="6"/>
      <c r="AP512" s="6"/>
      <c r="AQ512" s="6"/>
      <c r="AR512" s="6"/>
      <c r="AS512" s="6"/>
    </row>
    <row r="513" spans="1:45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12"/>
      <c r="AK513" s="12"/>
      <c r="AL513" s="6"/>
      <c r="AM513" s="6"/>
      <c r="AN513" s="6"/>
      <c r="AO513" s="6"/>
      <c r="AP513" s="6"/>
      <c r="AQ513" s="6"/>
      <c r="AR513" s="6"/>
      <c r="AS513" s="6"/>
    </row>
    <row r="514" spans="1:45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12"/>
      <c r="AK514" s="12"/>
      <c r="AL514" s="6"/>
      <c r="AM514" s="6"/>
      <c r="AN514" s="6"/>
      <c r="AO514" s="6"/>
      <c r="AP514" s="6"/>
      <c r="AQ514" s="6"/>
      <c r="AR514" s="6"/>
      <c r="AS514" s="6"/>
    </row>
    <row r="515" spans="1:4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12"/>
      <c r="AK515" s="12"/>
      <c r="AL515" s="6"/>
      <c r="AM515" s="6"/>
      <c r="AN515" s="6"/>
      <c r="AO515" s="6"/>
      <c r="AP515" s="6"/>
      <c r="AQ515" s="6"/>
      <c r="AR515" s="6"/>
      <c r="AS515" s="6"/>
    </row>
    <row r="516" spans="1:45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12"/>
      <c r="AK516" s="12"/>
      <c r="AL516" s="6"/>
      <c r="AM516" s="6"/>
      <c r="AN516" s="6"/>
      <c r="AO516" s="6"/>
      <c r="AP516" s="6"/>
      <c r="AQ516" s="6"/>
      <c r="AR516" s="6"/>
      <c r="AS516" s="6"/>
    </row>
    <row r="517" spans="1:45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12"/>
      <c r="AK517" s="12"/>
      <c r="AL517" s="6"/>
      <c r="AM517" s="6"/>
      <c r="AN517" s="6"/>
      <c r="AO517" s="6"/>
      <c r="AP517" s="6"/>
      <c r="AQ517" s="6"/>
      <c r="AR517" s="6"/>
      <c r="AS517" s="6"/>
    </row>
    <row r="518" spans="1:45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12"/>
      <c r="AK518" s="12"/>
      <c r="AL518" s="6"/>
      <c r="AM518" s="6"/>
      <c r="AN518" s="6"/>
      <c r="AO518" s="6"/>
      <c r="AP518" s="6"/>
      <c r="AQ518" s="6"/>
      <c r="AR518" s="6"/>
      <c r="AS518" s="6"/>
    </row>
    <row r="519" spans="1:45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12"/>
      <c r="AK519" s="12"/>
      <c r="AL519" s="6"/>
      <c r="AM519" s="6"/>
      <c r="AN519" s="6"/>
      <c r="AO519" s="6"/>
      <c r="AP519" s="6"/>
      <c r="AQ519" s="6"/>
      <c r="AR519" s="6"/>
      <c r="AS519" s="6"/>
    </row>
    <row r="520" spans="1:45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12"/>
      <c r="AK520" s="12"/>
      <c r="AL520" s="6"/>
      <c r="AM520" s="6"/>
      <c r="AN520" s="6"/>
      <c r="AO520" s="6"/>
      <c r="AP520" s="6"/>
      <c r="AQ520" s="6"/>
      <c r="AR520" s="6"/>
      <c r="AS520" s="6"/>
    </row>
    <row r="521" spans="1:45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12"/>
      <c r="AK521" s="12"/>
      <c r="AL521" s="6"/>
      <c r="AM521" s="6"/>
      <c r="AN521" s="6"/>
      <c r="AO521" s="6"/>
      <c r="AP521" s="6"/>
      <c r="AQ521" s="6"/>
      <c r="AR521" s="6"/>
      <c r="AS521" s="6"/>
    </row>
    <row r="522" spans="1:45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12"/>
      <c r="AK522" s="12"/>
      <c r="AL522" s="6"/>
      <c r="AM522" s="6"/>
      <c r="AN522" s="6"/>
      <c r="AO522" s="6"/>
      <c r="AP522" s="6"/>
      <c r="AQ522" s="6"/>
      <c r="AR522" s="6"/>
      <c r="AS522" s="6"/>
    </row>
    <row r="523" spans="1:45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12"/>
      <c r="AK523" s="12"/>
      <c r="AL523" s="6"/>
      <c r="AM523" s="6"/>
      <c r="AN523" s="6"/>
      <c r="AO523" s="6"/>
      <c r="AP523" s="6"/>
      <c r="AQ523" s="6"/>
      <c r="AR523" s="6"/>
      <c r="AS523" s="6"/>
    </row>
    <row r="524" spans="1:45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12"/>
      <c r="AK524" s="12"/>
      <c r="AL524" s="6"/>
      <c r="AM524" s="6"/>
      <c r="AN524" s="6"/>
      <c r="AO524" s="6"/>
      <c r="AP524" s="6"/>
      <c r="AQ524" s="6"/>
      <c r="AR524" s="6"/>
      <c r="AS524" s="6"/>
    </row>
    <row r="525" spans="1:4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12"/>
      <c r="AK525" s="12"/>
      <c r="AL525" s="6"/>
      <c r="AM525" s="6"/>
      <c r="AN525" s="6"/>
      <c r="AO525" s="6"/>
      <c r="AP525" s="6"/>
      <c r="AQ525" s="6"/>
      <c r="AR525" s="6"/>
      <c r="AS525" s="6"/>
    </row>
    <row r="526" spans="1:45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12"/>
      <c r="AK526" s="12"/>
      <c r="AL526" s="6"/>
      <c r="AM526" s="6"/>
      <c r="AN526" s="6"/>
      <c r="AO526" s="6"/>
      <c r="AP526" s="6"/>
      <c r="AQ526" s="6"/>
      <c r="AR526" s="6"/>
      <c r="AS526" s="6"/>
    </row>
    <row r="527" spans="1:45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12"/>
      <c r="AK527" s="12"/>
      <c r="AL527" s="6"/>
      <c r="AM527" s="6"/>
      <c r="AN527" s="6"/>
      <c r="AO527" s="6"/>
      <c r="AP527" s="6"/>
      <c r="AQ527" s="6"/>
      <c r="AR527" s="6"/>
      <c r="AS527" s="6"/>
    </row>
    <row r="528" spans="1:45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12"/>
      <c r="AK528" s="12"/>
      <c r="AL528" s="6"/>
      <c r="AM528" s="6"/>
      <c r="AN528" s="6"/>
      <c r="AO528" s="6"/>
      <c r="AP528" s="6"/>
      <c r="AQ528" s="6"/>
      <c r="AR528" s="6"/>
      <c r="AS528" s="6"/>
    </row>
    <row r="529" spans="1:45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12"/>
      <c r="AK529" s="12"/>
      <c r="AL529" s="6"/>
      <c r="AM529" s="6"/>
      <c r="AN529" s="6"/>
      <c r="AO529" s="6"/>
      <c r="AP529" s="6"/>
      <c r="AQ529" s="6"/>
      <c r="AR529" s="6"/>
      <c r="AS529" s="6"/>
    </row>
    <row r="530" spans="1:45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12"/>
      <c r="AK530" s="12"/>
      <c r="AL530" s="6"/>
      <c r="AM530" s="6"/>
      <c r="AN530" s="6"/>
      <c r="AO530" s="6"/>
      <c r="AP530" s="6"/>
      <c r="AQ530" s="6"/>
      <c r="AR530" s="6"/>
      <c r="AS530" s="6"/>
    </row>
    <row r="531" spans="1:45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12"/>
      <c r="AK531" s="12"/>
      <c r="AL531" s="6"/>
      <c r="AM531" s="6"/>
      <c r="AN531" s="6"/>
      <c r="AO531" s="6"/>
      <c r="AP531" s="6"/>
      <c r="AQ531" s="6"/>
      <c r="AR531" s="6"/>
      <c r="AS531" s="6"/>
    </row>
    <row r="532" spans="1:45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12"/>
      <c r="AK532" s="12"/>
      <c r="AL532" s="6"/>
      <c r="AM532" s="6"/>
      <c r="AN532" s="6"/>
      <c r="AO532" s="6"/>
      <c r="AP532" s="6"/>
      <c r="AQ532" s="6"/>
      <c r="AR532" s="6"/>
      <c r="AS532" s="6"/>
    </row>
    <row r="533" spans="1:45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12"/>
      <c r="AK533" s="12"/>
      <c r="AL533" s="6"/>
      <c r="AM533" s="6"/>
      <c r="AN533" s="6"/>
      <c r="AO533" s="6"/>
      <c r="AP533" s="6"/>
      <c r="AQ533" s="6"/>
      <c r="AR533" s="6"/>
      <c r="AS533" s="6"/>
    </row>
    <row r="534" spans="1:45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12"/>
      <c r="AK534" s="12"/>
      <c r="AL534" s="6"/>
      <c r="AM534" s="6"/>
      <c r="AN534" s="6"/>
      <c r="AO534" s="6"/>
      <c r="AP534" s="6"/>
      <c r="AQ534" s="6"/>
      <c r="AR534" s="6"/>
      <c r="AS534" s="6"/>
    </row>
    <row r="535" spans="1:4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12"/>
      <c r="AK535" s="12"/>
      <c r="AL535" s="6"/>
      <c r="AM535" s="6"/>
      <c r="AN535" s="6"/>
      <c r="AO535" s="6"/>
      <c r="AP535" s="6"/>
      <c r="AQ535" s="6"/>
      <c r="AR535" s="6"/>
      <c r="AS535" s="6"/>
    </row>
    <row r="536" spans="1:45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12"/>
      <c r="AK536" s="12"/>
      <c r="AL536" s="6"/>
      <c r="AM536" s="6"/>
      <c r="AN536" s="6"/>
      <c r="AO536" s="6"/>
      <c r="AP536" s="6"/>
      <c r="AQ536" s="6"/>
      <c r="AR536" s="6"/>
      <c r="AS536" s="6"/>
    </row>
    <row r="537" spans="1:45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12"/>
      <c r="AK537" s="12"/>
      <c r="AL537" s="6"/>
      <c r="AM537" s="6"/>
      <c r="AN537" s="6"/>
      <c r="AO537" s="6"/>
      <c r="AP537" s="6"/>
      <c r="AQ537" s="6"/>
      <c r="AR537" s="6"/>
      <c r="AS537" s="6"/>
    </row>
    <row r="538" spans="1:45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12"/>
      <c r="AK538" s="12"/>
      <c r="AL538" s="6"/>
      <c r="AM538" s="6"/>
      <c r="AN538" s="6"/>
      <c r="AO538" s="6"/>
      <c r="AP538" s="6"/>
      <c r="AQ538" s="6"/>
      <c r="AR538" s="6"/>
      <c r="AS538" s="6"/>
    </row>
    <row r="539" spans="1:45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12"/>
      <c r="AK539" s="12"/>
      <c r="AL539" s="6"/>
      <c r="AM539" s="6"/>
      <c r="AN539" s="6"/>
      <c r="AO539" s="6"/>
      <c r="AP539" s="6"/>
      <c r="AQ539" s="6"/>
      <c r="AR539" s="6"/>
      <c r="AS539" s="6"/>
    </row>
    <row r="540" spans="1:45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12"/>
      <c r="AK540" s="12"/>
      <c r="AL540" s="6"/>
      <c r="AM540" s="6"/>
      <c r="AN540" s="6"/>
      <c r="AO540" s="6"/>
      <c r="AP540" s="6"/>
      <c r="AQ540" s="6"/>
      <c r="AR540" s="6"/>
      <c r="AS540" s="6"/>
    </row>
    <row r="541" spans="1:45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12"/>
      <c r="AK541" s="12"/>
      <c r="AL541" s="6"/>
      <c r="AM541" s="6"/>
      <c r="AN541" s="6"/>
      <c r="AO541" s="6"/>
      <c r="AP541" s="6"/>
      <c r="AQ541" s="6"/>
      <c r="AR541" s="6"/>
      <c r="AS541" s="6"/>
    </row>
    <row r="542" spans="1:45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12"/>
      <c r="AK542" s="12"/>
      <c r="AL542" s="6"/>
      <c r="AM542" s="6"/>
      <c r="AN542" s="6"/>
      <c r="AO542" s="6"/>
      <c r="AP542" s="6"/>
      <c r="AQ542" s="6"/>
      <c r="AR542" s="6"/>
      <c r="AS542" s="6"/>
    </row>
    <row r="543" spans="1:45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12"/>
      <c r="AK543" s="12"/>
      <c r="AL543" s="6"/>
      <c r="AM543" s="6"/>
      <c r="AN543" s="6"/>
      <c r="AO543" s="6"/>
      <c r="AP543" s="6"/>
      <c r="AQ543" s="6"/>
      <c r="AR543" s="6"/>
      <c r="AS543" s="6"/>
    </row>
    <row r="544" spans="1:45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12"/>
      <c r="AK544" s="12"/>
      <c r="AL544" s="6"/>
      <c r="AM544" s="6"/>
      <c r="AN544" s="6"/>
      <c r="AO544" s="6"/>
      <c r="AP544" s="6"/>
      <c r="AQ544" s="6"/>
      <c r="AR544" s="6"/>
      <c r="AS544" s="6"/>
    </row>
    <row r="545" spans="1: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12"/>
      <c r="AK545" s="12"/>
      <c r="AL545" s="6"/>
      <c r="AM545" s="6"/>
      <c r="AN545" s="6"/>
      <c r="AO545" s="6"/>
      <c r="AP545" s="6"/>
      <c r="AQ545" s="6"/>
      <c r="AR545" s="6"/>
      <c r="AS545" s="6"/>
    </row>
    <row r="546" spans="1:45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12"/>
      <c r="AK546" s="12"/>
      <c r="AL546" s="6"/>
      <c r="AM546" s="6"/>
      <c r="AN546" s="6"/>
      <c r="AO546" s="6"/>
      <c r="AP546" s="6"/>
      <c r="AQ546" s="6"/>
      <c r="AR546" s="6"/>
      <c r="AS546" s="6"/>
    </row>
    <row r="547" spans="1:45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12"/>
      <c r="AK547" s="12"/>
      <c r="AL547" s="6"/>
      <c r="AM547" s="6"/>
      <c r="AN547" s="6"/>
      <c r="AO547" s="6"/>
      <c r="AP547" s="6"/>
      <c r="AQ547" s="6"/>
      <c r="AR547" s="6"/>
      <c r="AS547" s="6"/>
    </row>
    <row r="548" spans="1:45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12"/>
      <c r="AK548" s="12"/>
      <c r="AL548" s="6"/>
      <c r="AM548" s="6"/>
      <c r="AN548" s="6"/>
      <c r="AO548" s="6"/>
      <c r="AP548" s="6"/>
      <c r="AQ548" s="6"/>
      <c r="AR548" s="6"/>
      <c r="AS548" s="6"/>
    </row>
    <row r="549" spans="1:45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12"/>
      <c r="AK549" s="12"/>
      <c r="AL549" s="6"/>
      <c r="AM549" s="6"/>
      <c r="AN549" s="6"/>
      <c r="AO549" s="6"/>
      <c r="AP549" s="6"/>
      <c r="AQ549" s="6"/>
      <c r="AR549" s="6"/>
      <c r="AS549" s="6"/>
    </row>
    <row r="550" spans="1:45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12"/>
      <c r="AK550" s="12"/>
      <c r="AL550" s="6"/>
      <c r="AM550" s="6"/>
      <c r="AN550" s="6"/>
      <c r="AO550" s="6"/>
      <c r="AP550" s="6"/>
      <c r="AQ550" s="6"/>
      <c r="AR550" s="6"/>
      <c r="AS550" s="6"/>
    </row>
    <row r="551" spans="1:45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12"/>
      <c r="AK551" s="12"/>
      <c r="AL551" s="6"/>
      <c r="AM551" s="6"/>
      <c r="AN551" s="6"/>
      <c r="AO551" s="6"/>
      <c r="AP551" s="6"/>
      <c r="AQ551" s="6"/>
      <c r="AR551" s="6"/>
      <c r="AS551" s="6"/>
    </row>
    <row r="552" spans="1:45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12"/>
      <c r="AK552" s="12"/>
      <c r="AL552" s="6"/>
      <c r="AM552" s="6"/>
      <c r="AN552" s="6"/>
      <c r="AO552" s="6"/>
      <c r="AP552" s="6"/>
      <c r="AQ552" s="6"/>
      <c r="AR552" s="6"/>
      <c r="AS552" s="6"/>
    </row>
    <row r="553" spans="1:45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12"/>
      <c r="AK553" s="12"/>
      <c r="AL553" s="6"/>
      <c r="AM553" s="6"/>
      <c r="AN553" s="6"/>
      <c r="AO553" s="6"/>
      <c r="AP553" s="6"/>
      <c r="AQ553" s="6"/>
      <c r="AR553" s="6"/>
      <c r="AS553" s="6"/>
    </row>
    <row r="554" spans="1:45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12"/>
      <c r="AK554" s="12"/>
      <c r="AL554" s="6"/>
      <c r="AM554" s="6"/>
      <c r="AN554" s="6"/>
      <c r="AO554" s="6"/>
      <c r="AP554" s="6"/>
      <c r="AQ554" s="6"/>
      <c r="AR554" s="6"/>
      <c r="AS554" s="6"/>
    </row>
    <row r="555" spans="1:4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12"/>
      <c r="AK555" s="12"/>
      <c r="AL555" s="6"/>
      <c r="AM555" s="6"/>
      <c r="AN555" s="6"/>
      <c r="AO555" s="6"/>
      <c r="AP555" s="6"/>
      <c r="AQ555" s="6"/>
      <c r="AR555" s="6"/>
      <c r="AS555" s="6"/>
    </row>
    <row r="556" spans="1:45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12"/>
      <c r="AK556" s="12"/>
      <c r="AL556" s="6"/>
      <c r="AM556" s="6"/>
      <c r="AN556" s="6"/>
      <c r="AO556" s="6"/>
      <c r="AP556" s="6"/>
      <c r="AQ556" s="6"/>
      <c r="AR556" s="6"/>
      <c r="AS556" s="6"/>
    </row>
    <row r="557" spans="1:45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12"/>
      <c r="AK557" s="12"/>
      <c r="AL557" s="6"/>
      <c r="AM557" s="6"/>
      <c r="AN557" s="6"/>
      <c r="AO557" s="6"/>
      <c r="AP557" s="6"/>
      <c r="AQ557" s="6"/>
      <c r="AR557" s="6"/>
      <c r="AS557" s="6"/>
    </row>
    <row r="558" spans="1:45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12"/>
      <c r="AK558" s="12"/>
      <c r="AL558" s="6"/>
      <c r="AM558" s="6"/>
      <c r="AN558" s="6"/>
      <c r="AO558" s="6"/>
      <c r="AP558" s="6"/>
      <c r="AQ558" s="6"/>
      <c r="AR558" s="6"/>
      <c r="AS558" s="6"/>
    </row>
    <row r="559" spans="1:45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12"/>
      <c r="AK559" s="12"/>
      <c r="AL559" s="6"/>
      <c r="AM559" s="6"/>
      <c r="AN559" s="6"/>
      <c r="AO559" s="6"/>
      <c r="AP559" s="6"/>
      <c r="AQ559" s="6"/>
      <c r="AR559" s="6"/>
      <c r="AS559" s="6"/>
    </row>
    <row r="560" spans="1:45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12"/>
      <c r="AK560" s="12"/>
      <c r="AL560" s="6"/>
      <c r="AM560" s="6"/>
      <c r="AN560" s="6"/>
      <c r="AO560" s="6"/>
      <c r="AP560" s="6"/>
      <c r="AQ560" s="6"/>
      <c r="AR560" s="6"/>
      <c r="AS560" s="6"/>
    </row>
    <row r="561" spans="1:45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12"/>
      <c r="AK561" s="12"/>
      <c r="AL561" s="6"/>
      <c r="AM561" s="6"/>
      <c r="AN561" s="6"/>
      <c r="AO561" s="6"/>
      <c r="AP561" s="6"/>
      <c r="AQ561" s="6"/>
      <c r="AR561" s="6"/>
      <c r="AS561" s="6"/>
    </row>
    <row r="562" spans="1:45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12"/>
      <c r="AK562" s="12"/>
      <c r="AL562" s="6"/>
      <c r="AM562" s="6"/>
      <c r="AN562" s="6"/>
      <c r="AO562" s="6"/>
      <c r="AP562" s="6"/>
      <c r="AQ562" s="6"/>
      <c r="AR562" s="6"/>
      <c r="AS562" s="6"/>
    </row>
    <row r="563" spans="1:45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12"/>
      <c r="AK563" s="12"/>
      <c r="AL563" s="6"/>
      <c r="AM563" s="6"/>
      <c r="AN563" s="6"/>
      <c r="AO563" s="6"/>
      <c r="AP563" s="6"/>
      <c r="AQ563" s="6"/>
      <c r="AR563" s="6"/>
      <c r="AS563" s="6"/>
    </row>
    <row r="564" spans="1:45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12"/>
      <c r="AK564" s="12"/>
      <c r="AL564" s="6"/>
      <c r="AM564" s="6"/>
      <c r="AN564" s="6"/>
      <c r="AO564" s="6"/>
      <c r="AP564" s="6"/>
      <c r="AQ564" s="6"/>
      <c r="AR564" s="6"/>
      <c r="AS564" s="6"/>
    </row>
    <row r="565" spans="1:4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12"/>
      <c r="AK565" s="12"/>
      <c r="AL565" s="6"/>
      <c r="AM565" s="6"/>
      <c r="AN565" s="6"/>
      <c r="AO565" s="6"/>
      <c r="AP565" s="6"/>
      <c r="AQ565" s="6"/>
      <c r="AR565" s="6"/>
      <c r="AS565" s="6"/>
    </row>
    <row r="566" spans="1:45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12"/>
      <c r="AK566" s="12"/>
      <c r="AL566" s="6"/>
      <c r="AM566" s="6"/>
      <c r="AN566" s="6"/>
      <c r="AO566" s="6"/>
      <c r="AP566" s="6"/>
      <c r="AQ566" s="6"/>
      <c r="AR566" s="6"/>
      <c r="AS566" s="6"/>
    </row>
    <row r="567" spans="1:45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12"/>
      <c r="AK567" s="12"/>
      <c r="AL567" s="6"/>
      <c r="AM567" s="6"/>
      <c r="AN567" s="6"/>
      <c r="AO567" s="6"/>
      <c r="AP567" s="6"/>
      <c r="AQ567" s="6"/>
      <c r="AR567" s="6"/>
      <c r="AS567" s="6"/>
    </row>
    <row r="568" spans="1:45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12"/>
      <c r="AK568" s="12"/>
      <c r="AL568" s="6"/>
      <c r="AM568" s="6"/>
      <c r="AN568" s="6"/>
      <c r="AO568" s="6"/>
      <c r="AP568" s="6"/>
      <c r="AQ568" s="6"/>
      <c r="AR568" s="6"/>
      <c r="AS568" s="6"/>
    </row>
    <row r="569" spans="1:45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12"/>
      <c r="AK569" s="12"/>
      <c r="AL569" s="6"/>
      <c r="AM569" s="6"/>
      <c r="AN569" s="6"/>
      <c r="AO569" s="6"/>
      <c r="AP569" s="6"/>
      <c r="AQ569" s="6"/>
      <c r="AR569" s="6"/>
      <c r="AS569" s="6"/>
    </row>
    <row r="570" spans="1:45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12"/>
      <c r="AK570" s="12"/>
      <c r="AL570" s="6"/>
      <c r="AM570" s="6"/>
      <c r="AN570" s="6"/>
      <c r="AO570" s="6"/>
      <c r="AP570" s="6"/>
      <c r="AQ570" s="6"/>
      <c r="AR570" s="6"/>
      <c r="AS570" s="6"/>
    </row>
    <row r="571" spans="1:45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12"/>
      <c r="AK571" s="12"/>
      <c r="AL571" s="6"/>
      <c r="AM571" s="6"/>
      <c r="AN571" s="6"/>
      <c r="AO571" s="6"/>
      <c r="AP571" s="6"/>
      <c r="AQ571" s="6"/>
      <c r="AR571" s="6"/>
      <c r="AS571" s="6"/>
    </row>
    <row r="572" spans="1:45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12"/>
      <c r="AK572" s="12"/>
      <c r="AL572" s="6"/>
      <c r="AM572" s="6"/>
      <c r="AN572" s="6"/>
      <c r="AO572" s="6"/>
      <c r="AP572" s="6"/>
      <c r="AQ572" s="6"/>
      <c r="AR572" s="6"/>
      <c r="AS572" s="6"/>
    </row>
    <row r="573" spans="1:45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12"/>
      <c r="AK573" s="12"/>
      <c r="AL573" s="6"/>
      <c r="AM573" s="6"/>
      <c r="AN573" s="6"/>
      <c r="AO573" s="6"/>
      <c r="AP573" s="6"/>
      <c r="AQ573" s="6"/>
      <c r="AR573" s="6"/>
      <c r="AS573" s="6"/>
    </row>
    <row r="574" spans="1:45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12"/>
      <c r="AK574" s="12"/>
      <c r="AL574" s="6"/>
      <c r="AM574" s="6"/>
      <c r="AN574" s="6"/>
      <c r="AO574" s="6"/>
      <c r="AP574" s="6"/>
      <c r="AQ574" s="6"/>
      <c r="AR574" s="6"/>
      <c r="AS574" s="6"/>
    </row>
    <row r="575" spans="1:4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12"/>
      <c r="AK575" s="12"/>
      <c r="AL575" s="6"/>
      <c r="AM575" s="6"/>
      <c r="AN575" s="6"/>
      <c r="AO575" s="6"/>
      <c r="AP575" s="6"/>
      <c r="AQ575" s="6"/>
      <c r="AR575" s="6"/>
      <c r="AS575" s="6"/>
    </row>
    <row r="576" spans="1:45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12"/>
      <c r="AK576" s="12"/>
      <c r="AL576" s="6"/>
      <c r="AM576" s="6"/>
      <c r="AN576" s="6"/>
      <c r="AO576" s="6"/>
      <c r="AP576" s="6"/>
      <c r="AQ576" s="6"/>
      <c r="AR576" s="6"/>
      <c r="AS576" s="6"/>
    </row>
    <row r="577" spans="1:45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12"/>
      <c r="AK577" s="12"/>
      <c r="AL577" s="6"/>
      <c r="AM577" s="6"/>
      <c r="AN577" s="6"/>
      <c r="AO577" s="6"/>
      <c r="AP577" s="6"/>
      <c r="AQ577" s="6"/>
      <c r="AR577" s="6"/>
      <c r="AS577" s="6"/>
    </row>
    <row r="578" spans="1:45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12"/>
      <c r="AK578" s="12"/>
      <c r="AL578" s="6"/>
      <c r="AM578" s="6"/>
      <c r="AN578" s="6"/>
      <c r="AO578" s="6"/>
      <c r="AP578" s="6"/>
      <c r="AQ578" s="6"/>
      <c r="AR578" s="6"/>
      <c r="AS578" s="6"/>
    </row>
    <row r="579" spans="1:45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12"/>
      <c r="AK579" s="12"/>
      <c r="AL579" s="6"/>
      <c r="AM579" s="6"/>
      <c r="AN579" s="6"/>
      <c r="AO579" s="6"/>
      <c r="AP579" s="6"/>
      <c r="AQ579" s="6"/>
      <c r="AR579" s="6"/>
      <c r="AS579" s="6"/>
    </row>
    <row r="580" spans="1:45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12"/>
      <c r="AK580" s="12"/>
      <c r="AL580" s="6"/>
      <c r="AM580" s="6"/>
      <c r="AN580" s="6"/>
      <c r="AO580" s="6"/>
      <c r="AP580" s="6"/>
      <c r="AQ580" s="6"/>
      <c r="AR580" s="6"/>
      <c r="AS580" s="6"/>
    </row>
    <row r="581" spans="1:45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12"/>
      <c r="AK581" s="12"/>
      <c r="AL581" s="6"/>
      <c r="AM581" s="6"/>
      <c r="AN581" s="6"/>
      <c r="AO581" s="6"/>
      <c r="AP581" s="6"/>
      <c r="AQ581" s="6"/>
      <c r="AR581" s="6"/>
      <c r="AS581" s="6"/>
    </row>
    <row r="582" spans="1:45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12"/>
      <c r="AK582" s="12"/>
      <c r="AL582" s="6"/>
      <c r="AM582" s="6"/>
      <c r="AN582" s="6"/>
      <c r="AO582" s="6"/>
      <c r="AP582" s="6"/>
      <c r="AQ582" s="6"/>
      <c r="AR582" s="6"/>
      <c r="AS582" s="6"/>
    </row>
    <row r="583" spans="1:45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12"/>
      <c r="AK583" s="12"/>
      <c r="AL583" s="6"/>
      <c r="AM583" s="6"/>
      <c r="AN583" s="6"/>
      <c r="AO583" s="6"/>
      <c r="AP583" s="6"/>
      <c r="AQ583" s="6"/>
      <c r="AR583" s="6"/>
      <c r="AS583" s="6"/>
    </row>
    <row r="584" spans="1:45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12"/>
      <c r="AK584" s="12"/>
      <c r="AL584" s="6"/>
      <c r="AM584" s="6"/>
      <c r="AN584" s="6"/>
      <c r="AO584" s="6"/>
      <c r="AP584" s="6"/>
      <c r="AQ584" s="6"/>
      <c r="AR584" s="6"/>
      <c r="AS584" s="6"/>
    </row>
    <row r="585" spans="1:4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12"/>
      <c r="AK585" s="12"/>
      <c r="AL585" s="6"/>
      <c r="AM585" s="6"/>
      <c r="AN585" s="6"/>
      <c r="AO585" s="6"/>
      <c r="AP585" s="6"/>
      <c r="AQ585" s="6"/>
      <c r="AR585" s="6"/>
      <c r="AS585" s="6"/>
    </row>
    <row r="586" spans="1:45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12"/>
      <c r="AK586" s="12"/>
      <c r="AL586" s="6"/>
      <c r="AM586" s="6"/>
      <c r="AN586" s="6"/>
      <c r="AO586" s="6"/>
      <c r="AP586" s="6"/>
      <c r="AQ586" s="6"/>
      <c r="AR586" s="6"/>
      <c r="AS586" s="6"/>
    </row>
    <row r="587" spans="1:45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12"/>
      <c r="AK587" s="12"/>
      <c r="AL587" s="6"/>
      <c r="AM587" s="6"/>
      <c r="AN587" s="6"/>
      <c r="AO587" s="6"/>
      <c r="AP587" s="6"/>
      <c r="AQ587" s="6"/>
      <c r="AR587" s="6"/>
      <c r="AS587" s="6"/>
    </row>
    <row r="588" spans="1:45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12"/>
      <c r="AK588" s="12"/>
      <c r="AL588" s="6"/>
      <c r="AM588" s="6"/>
      <c r="AN588" s="6"/>
      <c r="AO588" s="6"/>
      <c r="AP588" s="6"/>
      <c r="AQ588" s="6"/>
      <c r="AR588" s="6"/>
      <c r="AS588" s="6"/>
    </row>
    <row r="589" spans="1:45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12"/>
      <c r="AK589" s="12"/>
      <c r="AL589" s="6"/>
      <c r="AM589" s="6"/>
      <c r="AN589" s="6"/>
      <c r="AO589" s="6"/>
      <c r="AP589" s="6"/>
      <c r="AQ589" s="6"/>
      <c r="AR589" s="6"/>
      <c r="AS589" s="6"/>
    </row>
    <row r="590" spans="1:45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12"/>
      <c r="AK590" s="12"/>
      <c r="AL590" s="6"/>
      <c r="AM590" s="6"/>
      <c r="AN590" s="6"/>
      <c r="AO590" s="6"/>
      <c r="AP590" s="6"/>
      <c r="AQ590" s="6"/>
      <c r="AR590" s="6"/>
      <c r="AS590" s="6"/>
    </row>
    <row r="591" spans="1:45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12"/>
      <c r="AK591" s="12"/>
      <c r="AL591" s="6"/>
      <c r="AM591" s="6"/>
      <c r="AN591" s="6"/>
      <c r="AO591" s="6"/>
      <c r="AP591" s="6"/>
      <c r="AQ591" s="6"/>
      <c r="AR591" s="6"/>
      <c r="AS591" s="6"/>
    </row>
    <row r="592" spans="1:45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12"/>
      <c r="AK592" s="12"/>
      <c r="AL592" s="6"/>
      <c r="AM592" s="6"/>
      <c r="AN592" s="6"/>
      <c r="AO592" s="6"/>
      <c r="AP592" s="6"/>
      <c r="AQ592" s="6"/>
      <c r="AR592" s="6"/>
      <c r="AS592" s="6"/>
    </row>
    <row r="593" spans="1:45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12"/>
      <c r="AK593" s="12"/>
      <c r="AL593" s="6"/>
      <c r="AM593" s="6"/>
      <c r="AN593" s="6"/>
      <c r="AO593" s="6"/>
      <c r="AP593" s="6"/>
      <c r="AQ593" s="6"/>
      <c r="AR593" s="6"/>
      <c r="AS593" s="6"/>
    </row>
    <row r="594" spans="1:45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12"/>
      <c r="AK594" s="12"/>
      <c r="AL594" s="6"/>
      <c r="AM594" s="6"/>
      <c r="AN594" s="6"/>
      <c r="AO594" s="6"/>
      <c r="AP594" s="6"/>
      <c r="AQ594" s="6"/>
      <c r="AR594" s="6"/>
      <c r="AS594" s="6"/>
    </row>
    <row r="595" spans="1:4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12"/>
      <c r="AK595" s="12"/>
      <c r="AL595" s="6"/>
      <c r="AM595" s="6"/>
      <c r="AN595" s="6"/>
      <c r="AO595" s="6"/>
      <c r="AP595" s="6"/>
      <c r="AQ595" s="6"/>
      <c r="AR595" s="6"/>
      <c r="AS595" s="6"/>
    </row>
    <row r="596" spans="1:45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12"/>
      <c r="AK596" s="12"/>
      <c r="AL596" s="6"/>
      <c r="AM596" s="6"/>
      <c r="AN596" s="6"/>
      <c r="AO596" s="6"/>
      <c r="AP596" s="6"/>
      <c r="AQ596" s="6"/>
      <c r="AR596" s="6"/>
      <c r="AS596" s="6"/>
    </row>
    <row r="597" spans="1:45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12"/>
      <c r="AK597" s="12"/>
      <c r="AL597" s="6"/>
      <c r="AM597" s="6"/>
      <c r="AN597" s="6"/>
      <c r="AO597" s="6"/>
      <c r="AP597" s="6"/>
      <c r="AQ597" s="6"/>
      <c r="AR597" s="6"/>
      <c r="AS597" s="6"/>
    </row>
    <row r="598" spans="1:45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12"/>
      <c r="AK598" s="12"/>
      <c r="AL598" s="6"/>
      <c r="AM598" s="6"/>
      <c r="AN598" s="6"/>
      <c r="AO598" s="6"/>
      <c r="AP598" s="6"/>
      <c r="AQ598" s="6"/>
      <c r="AR598" s="6"/>
      <c r="AS598" s="6"/>
    </row>
    <row r="599" spans="1:45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12"/>
      <c r="AK599" s="12"/>
      <c r="AL599" s="6"/>
      <c r="AM599" s="6"/>
      <c r="AN599" s="6"/>
      <c r="AO599" s="6"/>
      <c r="AP599" s="6"/>
      <c r="AQ599" s="6"/>
      <c r="AR599" s="6"/>
      <c r="AS599" s="6"/>
    </row>
    <row r="600" spans="1:45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12"/>
      <c r="AK600" s="12"/>
      <c r="AL600" s="6"/>
      <c r="AM600" s="6"/>
      <c r="AN600" s="6"/>
      <c r="AO600" s="6"/>
      <c r="AP600" s="6"/>
      <c r="AQ600" s="6"/>
      <c r="AR600" s="6"/>
      <c r="AS600" s="6"/>
    </row>
    <row r="601" spans="1:45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12"/>
      <c r="AK601" s="12"/>
      <c r="AL601" s="6"/>
      <c r="AM601" s="6"/>
      <c r="AN601" s="6"/>
      <c r="AO601" s="6"/>
      <c r="AP601" s="6"/>
      <c r="AQ601" s="6"/>
      <c r="AR601" s="6"/>
      <c r="AS601" s="6"/>
    </row>
    <row r="602" spans="1:45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12"/>
      <c r="AK602" s="12"/>
      <c r="AL602" s="6"/>
      <c r="AM602" s="6"/>
      <c r="AN602" s="6"/>
      <c r="AO602" s="6"/>
      <c r="AP602" s="6"/>
      <c r="AQ602" s="6"/>
      <c r="AR602" s="6"/>
      <c r="AS602" s="6"/>
    </row>
    <row r="603" spans="1:45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12"/>
      <c r="AK603" s="12"/>
      <c r="AL603" s="6"/>
      <c r="AM603" s="6"/>
      <c r="AN603" s="6"/>
      <c r="AO603" s="6"/>
      <c r="AP603" s="6"/>
      <c r="AQ603" s="6"/>
      <c r="AR603" s="6"/>
      <c r="AS603" s="6"/>
    </row>
    <row r="604" spans="1:45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12"/>
      <c r="AK604" s="12"/>
      <c r="AL604" s="6"/>
      <c r="AM604" s="6"/>
      <c r="AN604" s="6"/>
      <c r="AO604" s="6"/>
      <c r="AP604" s="6"/>
      <c r="AQ604" s="6"/>
      <c r="AR604" s="6"/>
      <c r="AS604" s="6"/>
    </row>
    <row r="605" spans="1:4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12"/>
      <c r="AK605" s="12"/>
      <c r="AL605" s="6"/>
      <c r="AM605" s="6"/>
      <c r="AN605" s="6"/>
      <c r="AO605" s="6"/>
      <c r="AP605" s="6"/>
      <c r="AQ605" s="6"/>
      <c r="AR605" s="6"/>
      <c r="AS605" s="6"/>
    </row>
    <row r="606" spans="1:45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12"/>
      <c r="AK606" s="12"/>
      <c r="AL606" s="6"/>
      <c r="AM606" s="6"/>
      <c r="AN606" s="6"/>
      <c r="AO606" s="6"/>
      <c r="AP606" s="6"/>
      <c r="AQ606" s="6"/>
      <c r="AR606" s="6"/>
      <c r="AS606" s="6"/>
    </row>
    <row r="607" spans="1:45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12"/>
      <c r="AK607" s="12"/>
      <c r="AL607" s="6"/>
      <c r="AM607" s="6"/>
      <c r="AN607" s="6"/>
      <c r="AO607" s="6"/>
      <c r="AP607" s="6"/>
      <c r="AQ607" s="6"/>
      <c r="AR607" s="6"/>
      <c r="AS607" s="6"/>
    </row>
    <row r="608" spans="1:45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12"/>
      <c r="AK608" s="12"/>
      <c r="AL608" s="6"/>
      <c r="AM608" s="6"/>
      <c r="AN608" s="6"/>
      <c r="AO608" s="6"/>
      <c r="AP608" s="6"/>
      <c r="AQ608" s="6"/>
      <c r="AR608" s="6"/>
      <c r="AS608" s="6"/>
    </row>
    <row r="609" spans="1:45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12"/>
      <c r="AK609" s="12"/>
      <c r="AL609" s="6"/>
      <c r="AM609" s="6"/>
      <c r="AN609" s="6"/>
      <c r="AO609" s="6"/>
      <c r="AP609" s="6"/>
      <c r="AQ609" s="6"/>
      <c r="AR609" s="6"/>
      <c r="AS609" s="6"/>
    </row>
    <row r="610" spans="1:45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12"/>
      <c r="AK610" s="12"/>
      <c r="AL610" s="6"/>
      <c r="AM610" s="6"/>
      <c r="AN610" s="6"/>
      <c r="AO610" s="6"/>
      <c r="AP610" s="6"/>
      <c r="AQ610" s="6"/>
      <c r="AR610" s="6"/>
      <c r="AS610" s="6"/>
    </row>
    <row r="611" spans="1:45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12"/>
      <c r="AK611" s="12"/>
      <c r="AL611" s="6"/>
      <c r="AM611" s="6"/>
      <c r="AN611" s="6"/>
      <c r="AO611" s="6"/>
      <c r="AP611" s="6"/>
      <c r="AQ611" s="6"/>
      <c r="AR611" s="6"/>
      <c r="AS611" s="6"/>
    </row>
    <row r="612" spans="1:45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12"/>
      <c r="AK612" s="12"/>
      <c r="AL612" s="6"/>
      <c r="AM612" s="6"/>
      <c r="AN612" s="6"/>
      <c r="AO612" s="6"/>
      <c r="AP612" s="6"/>
      <c r="AQ612" s="6"/>
      <c r="AR612" s="6"/>
      <c r="AS612" s="6"/>
    </row>
    <row r="613" spans="1:45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12"/>
      <c r="AK613" s="12"/>
      <c r="AL613" s="6"/>
      <c r="AM613" s="6"/>
      <c r="AN613" s="6"/>
      <c r="AO613" s="6"/>
      <c r="AP613" s="6"/>
      <c r="AQ613" s="6"/>
      <c r="AR613" s="6"/>
      <c r="AS613" s="6"/>
    </row>
    <row r="614" spans="1:45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12"/>
      <c r="AK614" s="12"/>
      <c r="AL614" s="6"/>
      <c r="AM614" s="6"/>
      <c r="AN614" s="6"/>
      <c r="AO614" s="6"/>
      <c r="AP614" s="6"/>
      <c r="AQ614" s="6"/>
      <c r="AR614" s="6"/>
      <c r="AS614" s="6"/>
    </row>
    <row r="615" spans="1:4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12"/>
      <c r="AK615" s="12"/>
      <c r="AL615" s="6"/>
      <c r="AM615" s="6"/>
      <c r="AN615" s="6"/>
      <c r="AO615" s="6"/>
      <c r="AP615" s="6"/>
      <c r="AQ615" s="6"/>
      <c r="AR615" s="6"/>
      <c r="AS615" s="6"/>
    </row>
    <row r="616" spans="1:45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12"/>
      <c r="AK616" s="12"/>
      <c r="AL616" s="6"/>
      <c r="AM616" s="6"/>
      <c r="AN616" s="6"/>
      <c r="AO616" s="6"/>
      <c r="AP616" s="6"/>
      <c r="AQ616" s="6"/>
      <c r="AR616" s="6"/>
      <c r="AS616" s="6"/>
    </row>
    <row r="617" spans="1:45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12"/>
      <c r="AK617" s="12"/>
      <c r="AL617" s="6"/>
      <c r="AM617" s="6"/>
      <c r="AN617" s="6"/>
      <c r="AO617" s="6"/>
      <c r="AP617" s="6"/>
      <c r="AQ617" s="6"/>
      <c r="AR617" s="6"/>
      <c r="AS617" s="6"/>
    </row>
    <row r="618" spans="1:45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12"/>
      <c r="AK618" s="12"/>
      <c r="AL618" s="6"/>
      <c r="AM618" s="6"/>
      <c r="AN618" s="6"/>
      <c r="AO618" s="6"/>
      <c r="AP618" s="6"/>
      <c r="AQ618" s="6"/>
      <c r="AR618" s="6"/>
      <c r="AS618" s="6"/>
    </row>
    <row r="619" spans="1:45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12"/>
      <c r="AK619" s="12"/>
      <c r="AL619" s="6"/>
      <c r="AM619" s="6"/>
      <c r="AN619" s="6"/>
      <c r="AO619" s="6"/>
      <c r="AP619" s="6"/>
      <c r="AQ619" s="6"/>
      <c r="AR619" s="6"/>
      <c r="AS619" s="6"/>
    </row>
    <row r="620" spans="1:45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12"/>
      <c r="AK620" s="12"/>
      <c r="AL620" s="6"/>
      <c r="AM620" s="6"/>
      <c r="AN620" s="6"/>
      <c r="AO620" s="6"/>
      <c r="AP620" s="6"/>
      <c r="AQ620" s="6"/>
      <c r="AR620" s="6"/>
      <c r="AS620" s="6"/>
    </row>
    <row r="621" spans="1:45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12"/>
      <c r="AK621" s="12"/>
      <c r="AL621" s="6"/>
      <c r="AM621" s="6"/>
      <c r="AN621" s="6"/>
      <c r="AO621" s="6"/>
      <c r="AP621" s="6"/>
      <c r="AQ621" s="6"/>
      <c r="AR621" s="6"/>
      <c r="AS621" s="6"/>
    </row>
    <row r="622" spans="1:45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12"/>
      <c r="AK622" s="12"/>
      <c r="AL622" s="6"/>
      <c r="AM622" s="6"/>
      <c r="AN622" s="6"/>
      <c r="AO622" s="6"/>
      <c r="AP622" s="6"/>
      <c r="AQ622" s="6"/>
      <c r="AR622" s="6"/>
      <c r="AS622" s="6"/>
    </row>
    <row r="623" spans="1:45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12"/>
      <c r="AK623" s="12"/>
      <c r="AL623" s="6"/>
      <c r="AM623" s="6"/>
      <c r="AN623" s="6"/>
      <c r="AO623" s="6"/>
      <c r="AP623" s="6"/>
      <c r="AQ623" s="6"/>
      <c r="AR623" s="6"/>
      <c r="AS623" s="6"/>
    </row>
    <row r="624" spans="1:45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12"/>
      <c r="AK624" s="12"/>
      <c r="AL624" s="6"/>
      <c r="AM624" s="6"/>
      <c r="AN624" s="6"/>
      <c r="AO624" s="6"/>
      <c r="AP624" s="6"/>
      <c r="AQ624" s="6"/>
      <c r="AR624" s="6"/>
      <c r="AS624" s="6"/>
    </row>
    <row r="625" spans="1:4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12"/>
      <c r="AK625" s="12"/>
      <c r="AL625" s="6"/>
      <c r="AM625" s="6"/>
      <c r="AN625" s="6"/>
      <c r="AO625" s="6"/>
      <c r="AP625" s="6"/>
      <c r="AQ625" s="6"/>
      <c r="AR625" s="6"/>
      <c r="AS625" s="6"/>
    </row>
    <row r="626" spans="1:45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12"/>
      <c r="AK626" s="12"/>
      <c r="AL626" s="6"/>
      <c r="AM626" s="6"/>
      <c r="AN626" s="6"/>
      <c r="AO626" s="6"/>
      <c r="AP626" s="6"/>
      <c r="AQ626" s="6"/>
      <c r="AR626" s="6"/>
      <c r="AS626" s="6"/>
    </row>
    <row r="627" spans="1:45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12"/>
      <c r="AK627" s="12"/>
      <c r="AL627" s="6"/>
      <c r="AM627" s="6"/>
      <c r="AN627" s="6"/>
      <c r="AO627" s="6"/>
      <c r="AP627" s="6"/>
      <c r="AQ627" s="6"/>
      <c r="AR627" s="6"/>
      <c r="AS627" s="6"/>
    </row>
    <row r="628" spans="1:45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12"/>
      <c r="AK628" s="12"/>
      <c r="AL628" s="6"/>
      <c r="AM628" s="6"/>
      <c r="AN628" s="6"/>
      <c r="AO628" s="6"/>
      <c r="AP628" s="6"/>
      <c r="AQ628" s="6"/>
      <c r="AR628" s="6"/>
      <c r="AS628" s="6"/>
    </row>
    <row r="629" spans="1:45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2"/>
      <c r="AK629" s="12"/>
      <c r="AL629" s="6"/>
      <c r="AM629" s="6"/>
      <c r="AN629" s="6"/>
      <c r="AO629" s="6"/>
      <c r="AP629" s="6"/>
      <c r="AQ629" s="6"/>
      <c r="AR629" s="6"/>
      <c r="AS629" s="6"/>
    </row>
    <row r="630" spans="1:45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12"/>
      <c r="AK630" s="12"/>
      <c r="AL630" s="6"/>
      <c r="AM630" s="6"/>
      <c r="AN630" s="6"/>
      <c r="AO630" s="6"/>
      <c r="AP630" s="6"/>
      <c r="AQ630" s="6"/>
      <c r="AR630" s="6"/>
      <c r="AS630" s="6"/>
    </row>
    <row r="631" spans="1:45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12"/>
      <c r="AK631" s="12"/>
      <c r="AL631" s="6"/>
      <c r="AM631" s="6"/>
      <c r="AN631" s="6"/>
      <c r="AO631" s="6"/>
      <c r="AP631" s="6"/>
      <c r="AQ631" s="6"/>
      <c r="AR631" s="6"/>
      <c r="AS631" s="6"/>
    </row>
    <row r="632" spans="1:45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12"/>
      <c r="AK632" s="12"/>
      <c r="AL632" s="6"/>
      <c r="AM632" s="6"/>
      <c r="AN632" s="6"/>
      <c r="AO632" s="6"/>
      <c r="AP632" s="6"/>
      <c r="AQ632" s="6"/>
      <c r="AR632" s="6"/>
      <c r="AS632" s="6"/>
    </row>
    <row r="633" spans="1:45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12"/>
      <c r="AK633" s="12"/>
      <c r="AL633" s="6"/>
      <c r="AM633" s="6"/>
      <c r="AN633" s="6"/>
      <c r="AO633" s="6"/>
      <c r="AP633" s="6"/>
      <c r="AQ633" s="6"/>
      <c r="AR633" s="6"/>
      <c r="AS633" s="6"/>
    </row>
    <row r="634" spans="1:45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12"/>
      <c r="AK634" s="12"/>
      <c r="AL634" s="6"/>
      <c r="AM634" s="6"/>
      <c r="AN634" s="6"/>
      <c r="AO634" s="6"/>
      <c r="AP634" s="6"/>
      <c r="AQ634" s="6"/>
      <c r="AR634" s="6"/>
      <c r="AS634" s="6"/>
    </row>
    <row r="635" spans="1:4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12"/>
      <c r="AK635" s="12"/>
      <c r="AL635" s="6"/>
      <c r="AM635" s="6"/>
      <c r="AN635" s="6"/>
      <c r="AO635" s="6"/>
      <c r="AP635" s="6"/>
      <c r="AQ635" s="6"/>
      <c r="AR635" s="6"/>
      <c r="AS635" s="6"/>
    </row>
    <row r="636" spans="1:45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12"/>
      <c r="AK636" s="12"/>
      <c r="AL636" s="6"/>
      <c r="AM636" s="6"/>
      <c r="AN636" s="6"/>
      <c r="AO636" s="6"/>
      <c r="AP636" s="6"/>
      <c r="AQ636" s="6"/>
      <c r="AR636" s="6"/>
      <c r="AS636" s="6"/>
    </row>
    <row r="637" spans="1:45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12"/>
      <c r="AK637" s="12"/>
      <c r="AL637" s="6"/>
      <c r="AM637" s="6"/>
      <c r="AN637" s="6"/>
      <c r="AO637" s="6"/>
      <c r="AP637" s="6"/>
      <c r="AQ637" s="6"/>
      <c r="AR637" s="6"/>
      <c r="AS637" s="6"/>
    </row>
    <row r="638" spans="1:45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12"/>
      <c r="AK638" s="12"/>
      <c r="AL638" s="6"/>
      <c r="AM638" s="6"/>
      <c r="AN638" s="6"/>
      <c r="AO638" s="6"/>
      <c r="AP638" s="6"/>
      <c r="AQ638" s="6"/>
      <c r="AR638" s="6"/>
      <c r="AS638" s="6"/>
    </row>
    <row r="639" spans="1:45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12"/>
      <c r="AK639" s="12"/>
      <c r="AL639" s="6"/>
      <c r="AM639" s="6"/>
      <c r="AN639" s="6"/>
      <c r="AO639" s="6"/>
      <c r="AP639" s="6"/>
      <c r="AQ639" s="6"/>
      <c r="AR639" s="6"/>
      <c r="AS639" s="6"/>
    </row>
    <row r="640" spans="1:45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12"/>
      <c r="AK640" s="12"/>
      <c r="AL640" s="6"/>
      <c r="AM640" s="6"/>
      <c r="AN640" s="6"/>
      <c r="AO640" s="6"/>
      <c r="AP640" s="6"/>
      <c r="AQ640" s="6"/>
      <c r="AR640" s="6"/>
      <c r="AS640" s="6"/>
    </row>
    <row r="641" spans="1:45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12"/>
      <c r="AK641" s="12"/>
      <c r="AL641" s="6"/>
      <c r="AM641" s="6"/>
      <c r="AN641" s="6"/>
      <c r="AO641" s="6"/>
      <c r="AP641" s="6"/>
      <c r="AQ641" s="6"/>
      <c r="AR641" s="6"/>
      <c r="AS641" s="6"/>
    </row>
    <row r="642" spans="1:45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12"/>
      <c r="AK642" s="12"/>
      <c r="AL642" s="6"/>
      <c r="AM642" s="6"/>
      <c r="AN642" s="6"/>
      <c r="AO642" s="6"/>
      <c r="AP642" s="6"/>
      <c r="AQ642" s="6"/>
      <c r="AR642" s="6"/>
      <c r="AS642" s="6"/>
    </row>
    <row r="643" spans="1:45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12"/>
      <c r="AK643" s="12"/>
      <c r="AL643" s="6"/>
      <c r="AM643" s="6"/>
      <c r="AN643" s="6"/>
      <c r="AO643" s="6"/>
      <c r="AP643" s="6"/>
      <c r="AQ643" s="6"/>
      <c r="AR643" s="6"/>
      <c r="AS643" s="6"/>
    </row>
    <row r="644" spans="1:45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12"/>
      <c r="AK644" s="12"/>
      <c r="AL644" s="6"/>
      <c r="AM644" s="6"/>
      <c r="AN644" s="6"/>
      <c r="AO644" s="6"/>
      <c r="AP644" s="6"/>
      <c r="AQ644" s="6"/>
      <c r="AR644" s="6"/>
      <c r="AS644" s="6"/>
    </row>
    <row r="645" spans="1: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12"/>
      <c r="AK645" s="12"/>
      <c r="AL645" s="6"/>
      <c r="AM645" s="6"/>
      <c r="AN645" s="6"/>
      <c r="AO645" s="6"/>
      <c r="AP645" s="6"/>
      <c r="AQ645" s="6"/>
      <c r="AR645" s="6"/>
      <c r="AS645" s="6"/>
    </row>
    <row r="646" spans="1:45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12"/>
      <c r="AK646" s="12"/>
      <c r="AL646" s="6"/>
      <c r="AM646" s="6"/>
      <c r="AN646" s="6"/>
      <c r="AO646" s="6"/>
      <c r="AP646" s="6"/>
      <c r="AQ646" s="6"/>
      <c r="AR646" s="6"/>
      <c r="AS646" s="6"/>
    </row>
    <row r="647" spans="1:45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12"/>
      <c r="AK647" s="12"/>
      <c r="AL647" s="6"/>
      <c r="AM647" s="6"/>
      <c r="AN647" s="6"/>
      <c r="AO647" s="6"/>
      <c r="AP647" s="6"/>
      <c r="AQ647" s="6"/>
      <c r="AR647" s="6"/>
      <c r="AS647" s="6"/>
    </row>
    <row r="648" spans="1:45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12"/>
      <c r="AK648" s="12"/>
      <c r="AL648" s="6"/>
      <c r="AM648" s="6"/>
      <c r="AN648" s="6"/>
      <c r="AO648" s="6"/>
      <c r="AP648" s="6"/>
      <c r="AQ648" s="6"/>
      <c r="AR648" s="6"/>
      <c r="AS648" s="6"/>
    </row>
    <row r="649" spans="1:45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12"/>
      <c r="AK649" s="12"/>
      <c r="AL649" s="6"/>
      <c r="AM649" s="6"/>
      <c r="AN649" s="6"/>
      <c r="AO649" s="6"/>
      <c r="AP649" s="6"/>
      <c r="AQ649" s="6"/>
      <c r="AR649" s="6"/>
      <c r="AS649" s="6"/>
    </row>
    <row r="650" spans="1:45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12"/>
      <c r="AK650" s="12"/>
      <c r="AL650" s="6"/>
      <c r="AM650" s="6"/>
      <c r="AN650" s="6"/>
      <c r="AO650" s="6"/>
      <c r="AP650" s="6"/>
      <c r="AQ650" s="6"/>
      <c r="AR650" s="6"/>
      <c r="AS650" s="6"/>
    </row>
    <row r="651" spans="1:45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12"/>
      <c r="AK651" s="12"/>
      <c r="AL651" s="6"/>
      <c r="AM651" s="6"/>
      <c r="AN651" s="6"/>
      <c r="AO651" s="6"/>
      <c r="AP651" s="6"/>
      <c r="AQ651" s="6"/>
      <c r="AR651" s="6"/>
      <c r="AS651" s="6"/>
    </row>
    <row r="652" spans="1:45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12"/>
      <c r="AK652" s="12"/>
      <c r="AL652" s="6"/>
      <c r="AM652" s="6"/>
      <c r="AN652" s="6"/>
      <c r="AO652" s="6"/>
      <c r="AP652" s="6"/>
      <c r="AQ652" s="6"/>
      <c r="AR652" s="6"/>
      <c r="AS652" s="6"/>
    </row>
    <row r="653" spans="1:45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12"/>
      <c r="AK653" s="12"/>
      <c r="AL653" s="6"/>
      <c r="AM653" s="6"/>
      <c r="AN653" s="6"/>
      <c r="AO653" s="6"/>
      <c r="AP653" s="6"/>
      <c r="AQ653" s="6"/>
      <c r="AR653" s="6"/>
      <c r="AS653" s="6"/>
    </row>
    <row r="654" spans="1:45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12"/>
      <c r="AK654" s="12"/>
      <c r="AL654" s="6"/>
      <c r="AM654" s="6"/>
      <c r="AN654" s="6"/>
      <c r="AO654" s="6"/>
      <c r="AP654" s="6"/>
      <c r="AQ654" s="6"/>
      <c r="AR654" s="6"/>
      <c r="AS654" s="6"/>
    </row>
    <row r="655" spans="1:4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12"/>
      <c r="AK655" s="12"/>
      <c r="AL655" s="6"/>
      <c r="AM655" s="6"/>
      <c r="AN655" s="6"/>
      <c r="AO655" s="6"/>
      <c r="AP655" s="6"/>
      <c r="AQ655" s="6"/>
      <c r="AR655" s="6"/>
      <c r="AS655" s="6"/>
    </row>
    <row r="656" spans="1:45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12"/>
      <c r="AK656" s="12"/>
      <c r="AL656" s="6"/>
      <c r="AM656" s="6"/>
      <c r="AN656" s="6"/>
      <c r="AO656" s="6"/>
      <c r="AP656" s="6"/>
      <c r="AQ656" s="6"/>
      <c r="AR656" s="6"/>
      <c r="AS656" s="6"/>
    </row>
    <row r="657" spans="1:45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12"/>
      <c r="AK657" s="12"/>
      <c r="AL657" s="6"/>
      <c r="AM657" s="6"/>
      <c r="AN657" s="6"/>
      <c r="AO657" s="6"/>
      <c r="AP657" s="6"/>
      <c r="AQ657" s="6"/>
      <c r="AR657" s="6"/>
      <c r="AS657" s="6"/>
    </row>
    <row r="658" spans="1:45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12"/>
      <c r="AK658" s="12"/>
      <c r="AL658" s="6"/>
      <c r="AM658" s="6"/>
      <c r="AN658" s="6"/>
      <c r="AO658" s="6"/>
      <c r="AP658" s="6"/>
      <c r="AQ658" s="6"/>
      <c r="AR658" s="6"/>
      <c r="AS658" s="6"/>
    </row>
    <row r="659" spans="1:45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12"/>
      <c r="AK659" s="12"/>
      <c r="AL659" s="6"/>
      <c r="AM659" s="6"/>
      <c r="AN659" s="6"/>
      <c r="AO659" s="6"/>
      <c r="AP659" s="6"/>
      <c r="AQ659" s="6"/>
      <c r="AR659" s="6"/>
      <c r="AS659" s="6"/>
    </row>
    <row r="660" spans="1:45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12"/>
      <c r="AK660" s="12"/>
      <c r="AL660" s="6"/>
      <c r="AM660" s="6"/>
      <c r="AN660" s="6"/>
      <c r="AO660" s="6"/>
      <c r="AP660" s="6"/>
      <c r="AQ660" s="6"/>
      <c r="AR660" s="6"/>
      <c r="AS660" s="6"/>
    </row>
    <row r="661" spans="1:45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12"/>
      <c r="AK661" s="12"/>
      <c r="AL661" s="6"/>
      <c r="AM661" s="6"/>
      <c r="AN661" s="6"/>
      <c r="AO661" s="6"/>
      <c r="AP661" s="6"/>
      <c r="AQ661" s="6"/>
      <c r="AR661" s="6"/>
      <c r="AS661" s="6"/>
    </row>
    <row r="662" spans="1:45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12"/>
      <c r="AK662" s="12"/>
      <c r="AL662" s="6"/>
      <c r="AM662" s="6"/>
      <c r="AN662" s="6"/>
      <c r="AO662" s="6"/>
      <c r="AP662" s="6"/>
      <c r="AQ662" s="6"/>
      <c r="AR662" s="6"/>
      <c r="AS662" s="6"/>
    </row>
    <row r="663" spans="1:45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12"/>
      <c r="AK663" s="12"/>
      <c r="AL663" s="6"/>
      <c r="AM663" s="6"/>
      <c r="AN663" s="6"/>
      <c r="AO663" s="6"/>
      <c r="AP663" s="6"/>
      <c r="AQ663" s="6"/>
      <c r="AR663" s="6"/>
      <c r="AS663" s="6"/>
    </row>
    <row r="664" spans="1:45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12"/>
      <c r="AK664" s="12"/>
      <c r="AL664" s="6"/>
      <c r="AM664" s="6"/>
      <c r="AN664" s="6"/>
      <c r="AO664" s="6"/>
      <c r="AP664" s="6"/>
      <c r="AQ664" s="6"/>
      <c r="AR664" s="6"/>
      <c r="AS664" s="6"/>
    </row>
    <row r="665" spans="1:4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12"/>
      <c r="AK665" s="12"/>
      <c r="AL665" s="6"/>
      <c r="AM665" s="6"/>
      <c r="AN665" s="6"/>
      <c r="AO665" s="6"/>
      <c r="AP665" s="6"/>
      <c r="AQ665" s="6"/>
      <c r="AR665" s="6"/>
      <c r="AS665" s="6"/>
    </row>
    <row r="666" spans="1:45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12"/>
      <c r="AK666" s="12"/>
      <c r="AL666" s="6"/>
      <c r="AM666" s="6"/>
      <c r="AN666" s="6"/>
      <c r="AO666" s="6"/>
      <c r="AP666" s="6"/>
      <c r="AQ666" s="6"/>
      <c r="AR666" s="6"/>
      <c r="AS666" s="6"/>
    </row>
    <row r="667" spans="1:45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12"/>
      <c r="AK667" s="12"/>
      <c r="AL667" s="6"/>
      <c r="AM667" s="6"/>
      <c r="AN667" s="6"/>
      <c r="AO667" s="6"/>
      <c r="AP667" s="6"/>
      <c r="AQ667" s="6"/>
      <c r="AR667" s="6"/>
      <c r="AS667" s="6"/>
    </row>
    <row r="668" spans="1:45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12"/>
      <c r="AK668" s="12"/>
      <c r="AL668" s="6"/>
      <c r="AM668" s="6"/>
      <c r="AN668" s="6"/>
      <c r="AO668" s="6"/>
      <c r="AP668" s="6"/>
      <c r="AQ668" s="6"/>
      <c r="AR668" s="6"/>
      <c r="AS668" s="6"/>
    </row>
    <row r="669" spans="1:45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12"/>
      <c r="AK669" s="12"/>
      <c r="AL669" s="6"/>
      <c r="AM669" s="6"/>
      <c r="AN669" s="6"/>
      <c r="AO669" s="6"/>
      <c r="AP669" s="6"/>
      <c r="AQ669" s="6"/>
      <c r="AR669" s="6"/>
      <c r="AS669" s="6"/>
    </row>
    <row r="670" spans="1:45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12"/>
      <c r="AK670" s="12"/>
      <c r="AL670" s="6"/>
      <c r="AM670" s="6"/>
      <c r="AN670" s="6"/>
      <c r="AO670" s="6"/>
      <c r="AP670" s="6"/>
      <c r="AQ670" s="6"/>
      <c r="AR670" s="6"/>
      <c r="AS670" s="6"/>
    </row>
    <row r="671" spans="1:45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12"/>
      <c r="AK671" s="12"/>
      <c r="AL671" s="6"/>
      <c r="AM671" s="6"/>
      <c r="AN671" s="6"/>
      <c r="AO671" s="6"/>
      <c r="AP671" s="6"/>
      <c r="AQ671" s="6"/>
      <c r="AR671" s="6"/>
      <c r="AS671" s="6"/>
    </row>
    <row r="672" spans="1:45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12"/>
      <c r="AK672" s="12"/>
      <c r="AL672" s="6"/>
      <c r="AM672" s="6"/>
      <c r="AN672" s="6"/>
      <c r="AO672" s="6"/>
      <c r="AP672" s="6"/>
      <c r="AQ672" s="6"/>
      <c r="AR672" s="6"/>
      <c r="AS672" s="6"/>
    </row>
    <row r="673" spans="1:45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12"/>
      <c r="AK673" s="12"/>
      <c r="AL673" s="6"/>
      <c r="AM673" s="6"/>
      <c r="AN673" s="6"/>
      <c r="AO673" s="6"/>
      <c r="AP673" s="6"/>
      <c r="AQ673" s="6"/>
      <c r="AR673" s="6"/>
      <c r="AS673" s="6"/>
    </row>
    <row r="674" spans="1:45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12"/>
      <c r="AK674" s="12"/>
      <c r="AL674" s="6"/>
      <c r="AM674" s="6"/>
      <c r="AN674" s="6"/>
      <c r="AO674" s="6"/>
      <c r="AP674" s="6"/>
      <c r="AQ674" s="6"/>
      <c r="AR674" s="6"/>
      <c r="AS674" s="6"/>
    </row>
    <row r="675" spans="1:4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12"/>
      <c r="AK675" s="12"/>
      <c r="AL675" s="6"/>
      <c r="AM675" s="6"/>
      <c r="AN675" s="6"/>
      <c r="AO675" s="6"/>
      <c r="AP675" s="6"/>
      <c r="AQ675" s="6"/>
      <c r="AR675" s="6"/>
      <c r="AS675" s="6"/>
    </row>
    <row r="676" spans="1:45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12"/>
      <c r="AK676" s="12"/>
      <c r="AL676" s="6"/>
      <c r="AM676" s="6"/>
      <c r="AN676" s="6"/>
      <c r="AO676" s="6"/>
      <c r="AP676" s="6"/>
      <c r="AQ676" s="6"/>
      <c r="AR676" s="6"/>
      <c r="AS676" s="6"/>
    </row>
    <row r="677" spans="1:45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12"/>
      <c r="AK677" s="12"/>
      <c r="AL677" s="6"/>
      <c r="AM677" s="6"/>
      <c r="AN677" s="6"/>
      <c r="AO677" s="6"/>
      <c r="AP677" s="6"/>
      <c r="AQ677" s="6"/>
      <c r="AR677" s="6"/>
      <c r="AS677" s="6"/>
    </row>
    <row r="678" spans="1:45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12"/>
      <c r="AK678" s="12"/>
      <c r="AL678" s="6"/>
      <c r="AM678" s="6"/>
      <c r="AN678" s="6"/>
      <c r="AO678" s="6"/>
      <c r="AP678" s="6"/>
      <c r="AQ678" s="6"/>
      <c r="AR678" s="6"/>
      <c r="AS678" s="6"/>
    </row>
    <row r="679" spans="1:45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12"/>
      <c r="AK679" s="12"/>
      <c r="AL679" s="6"/>
      <c r="AM679" s="6"/>
      <c r="AN679" s="6"/>
      <c r="AO679" s="6"/>
      <c r="AP679" s="6"/>
      <c r="AQ679" s="6"/>
      <c r="AR679" s="6"/>
      <c r="AS679" s="6"/>
    </row>
    <row r="680" spans="1:45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12"/>
      <c r="AK680" s="12"/>
      <c r="AL680" s="6"/>
      <c r="AM680" s="6"/>
      <c r="AN680" s="6"/>
      <c r="AO680" s="6"/>
      <c r="AP680" s="6"/>
      <c r="AQ680" s="6"/>
      <c r="AR680" s="6"/>
      <c r="AS680" s="6"/>
    </row>
    <row r="681" spans="1:45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12"/>
      <c r="AK681" s="12"/>
      <c r="AL681" s="6"/>
      <c r="AM681" s="6"/>
      <c r="AN681" s="6"/>
      <c r="AO681" s="6"/>
      <c r="AP681" s="6"/>
      <c r="AQ681" s="6"/>
      <c r="AR681" s="6"/>
      <c r="AS681" s="6"/>
    </row>
    <row r="682" spans="1:45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12"/>
      <c r="AK682" s="12"/>
      <c r="AL682" s="6"/>
      <c r="AM682" s="6"/>
      <c r="AN682" s="6"/>
      <c r="AO682" s="6"/>
      <c r="AP682" s="6"/>
      <c r="AQ682" s="6"/>
      <c r="AR682" s="6"/>
      <c r="AS682" s="6"/>
    </row>
    <row r="683" spans="1:45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12"/>
      <c r="AK683" s="12"/>
      <c r="AL683" s="6"/>
      <c r="AM683" s="6"/>
      <c r="AN683" s="6"/>
      <c r="AO683" s="6"/>
      <c r="AP683" s="6"/>
      <c r="AQ683" s="6"/>
      <c r="AR683" s="6"/>
      <c r="AS683" s="6"/>
    </row>
    <row r="684" spans="1:45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12"/>
      <c r="AK684" s="12"/>
      <c r="AL684" s="6"/>
      <c r="AM684" s="6"/>
      <c r="AN684" s="6"/>
      <c r="AO684" s="6"/>
      <c r="AP684" s="6"/>
      <c r="AQ684" s="6"/>
      <c r="AR684" s="6"/>
      <c r="AS684" s="6"/>
    </row>
    <row r="685" spans="1:4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12"/>
      <c r="AK685" s="12"/>
      <c r="AL685" s="6"/>
      <c r="AM685" s="6"/>
      <c r="AN685" s="6"/>
      <c r="AO685" s="6"/>
      <c r="AP685" s="6"/>
      <c r="AQ685" s="6"/>
      <c r="AR685" s="6"/>
      <c r="AS685" s="6"/>
    </row>
    <row r="686" spans="1:45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12"/>
      <c r="AK686" s="12"/>
      <c r="AL686" s="6"/>
      <c r="AM686" s="6"/>
      <c r="AN686" s="6"/>
      <c r="AO686" s="6"/>
      <c r="AP686" s="6"/>
      <c r="AQ686" s="6"/>
      <c r="AR686" s="6"/>
      <c r="AS686" s="6"/>
    </row>
    <row r="687" spans="1:45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12"/>
      <c r="AK687" s="12"/>
      <c r="AL687" s="6"/>
      <c r="AM687" s="6"/>
      <c r="AN687" s="6"/>
      <c r="AO687" s="6"/>
      <c r="AP687" s="6"/>
      <c r="AQ687" s="6"/>
      <c r="AR687" s="6"/>
      <c r="AS687" s="6"/>
    </row>
    <row r="688" spans="1:45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12"/>
      <c r="AK688" s="12"/>
      <c r="AL688" s="6"/>
      <c r="AM688" s="6"/>
      <c r="AN688" s="6"/>
      <c r="AO688" s="6"/>
      <c r="AP688" s="6"/>
      <c r="AQ688" s="6"/>
      <c r="AR688" s="6"/>
      <c r="AS688" s="6"/>
    </row>
    <row r="689" spans="1:45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12"/>
      <c r="AK689" s="12"/>
      <c r="AL689" s="6"/>
      <c r="AM689" s="6"/>
      <c r="AN689" s="6"/>
      <c r="AO689" s="6"/>
      <c r="AP689" s="6"/>
      <c r="AQ689" s="6"/>
      <c r="AR689" s="6"/>
      <c r="AS689" s="6"/>
    </row>
    <row r="690" spans="1:45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12"/>
      <c r="AK690" s="12"/>
      <c r="AL690" s="6"/>
      <c r="AM690" s="6"/>
      <c r="AN690" s="6"/>
      <c r="AO690" s="6"/>
      <c r="AP690" s="6"/>
      <c r="AQ690" s="6"/>
      <c r="AR690" s="6"/>
      <c r="AS690" s="6"/>
    </row>
    <row r="691" spans="1:45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12"/>
      <c r="AK691" s="12"/>
      <c r="AL691" s="6"/>
      <c r="AM691" s="6"/>
      <c r="AN691" s="6"/>
      <c r="AO691" s="6"/>
      <c r="AP691" s="6"/>
      <c r="AQ691" s="6"/>
      <c r="AR691" s="6"/>
      <c r="AS691" s="6"/>
    </row>
    <row r="692" spans="1:45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12"/>
      <c r="AK692" s="12"/>
      <c r="AL692" s="6"/>
      <c r="AM692" s="6"/>
      <c r="AN692" s="6"/>
      <c r="AO692" s="6"/>
      <c r="AP692" s="6"/>
      <c r="AQ692" s="6"/>
      <c r="AR692" s="6"/>
      <c r="AS692" s="6"/>
    </row>
    <row r="693" spans="1:45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12"/>
      <c r="AK693" s="12"/>
      <c r="AL693" s="6"/>
      <c r="AM693" s="6"/>
      <c r="AN693" s="6"/>
      <c r="AO693" s="6"/>
      <c r="AP693" s="6"/>
      <c r="AQ693" s="6"/>
      <c r="AR693" s="6"/>
      <c r="AS693" s="6"/>
    </row>
    <row r="694" spans="1:45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12"/>
      <c r="AK694" s="12"/>
      <c r="AL694" s="6"/>
      <c r="AM694" s="6"/>
      <c r="AN694" s="6"/>
      <c r="AO694" s="6"/>
      <c r="AP694" s="6"/>
      <c r="AQ694" s="6"/>
      <c r="AR694" s="6"/>
      <c r="AS694" s="6"/>
    </row>
    <row r="695" spans="1:4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12"/>
      <c r="AK695" s="12"/>
      <c r="AL695" s="6"/>
      <c r="AM695" s="6"/>
      <c r="AN695" s="6"/>
      <c r="AO695" s="6"/>
      <c r="AP695" s="6"/>
      <c r="AQ695" s="6"/>
      <c r="AR695" s="6"/>
      <c r="AS695" s="6"/>
    </row>
    <row r="696" spans="1:45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12"/>
      <c r="AK696" s="12"/>
      <c r="AL696" s="6"/>
      <c r="AM696" s="6"/>
      <c r="AN696" s="6"/>
      <c r="AO696" s="6"/>
      <c r="AP696" s="6"/>
      <c r="AQ696" s="6"/>
      <c r="AR696" s="6"/>
      <c r="AS696" s="6"/>
    </row>
    <row r="697" spans="1:45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12"/>
      <c r="AK697" s="12"/>
      <c r="AL697" s="6"/>
      <c r="AM697" s="6"/>
      <c r="AN697" s="6"/>
      <c r="AO697" s="6"/>
      <c r="AP697" s="6"/>
      <c r="AQ697" s="6"/>
      <c r="AR697" s="6"/>
      <c r="AS697" s="6"/>
    </row>
    <row r="698" spans="1:45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12"/>
      <c r="AK698" s="12"/>
      <c r="AL698" s="6"/>
      <c r="AM698" s="6"/>
      <c r="AN698" s="6"/>
      <c r="AO698" s="6"/>
      <c r="AP698" s="6"/>
      <c r="AQ698" s="6"/>
      <c r="AR698" s="6"/>
      <c r="AS698" s="6"/>
    </row>
    <row r="699" spans="1:45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12"/>
      <c r="AK699" s="12"/>
      <c r="AL699" s="6"/>
      <c r="AM699" s="6"/>
      <c r="AN699" s="6"/>
      <c r="AO699" s="6"/>
      <c r="AP699" s="6"/>
      <c r="AQ699" s="6"/>
      <c r="AR699" s="6"/>
      <c r="AS699" s="6"/>
    </row>
    <row r="700" spans="1:45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12"/>
      <c r="AK700" s="12"/>
      <c r="AL700" s="6"/>
      <c r="AM700" s="6"/>
      <c r="AN700" s="6"/>
      <c r="AO700" s="6"/>
      <c r="AP700" s="6"/>
      <c r="AQ700" s="6"/>
      <c r="AR700" s="6"/>
      <c r="AS700" s="6"/>
    </row>
    <row r="701" spans="1:45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12"/>
      <c r="AK701" s="12"/>
      <c r="AL701" s="6"/>
      <c r="AM701" s="6"/>
      <c r="AN701" s="6"/>
      <c r="AO701" s="6"/>
      <c r="AP701" s="6"/>
      <c r="AQ701" s="6"/>
      <c r="AR701" s="6"/>
      <c r="AS701" s="6"/>
    </row>
    <row r="702" spans="1:45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12"/>
      <c r="AK702" s="12"/>
      <c r="AL702" s="6"/>
      <c r="AM702" s="6"/>
      <c r="AN702" s="6"/>
      <c r="AO702" s="6"/>
      <c r="AP702" s="6"/>
      <c r="AQ702" s="6"/>
      <c r="AR702" s="6"/>
      <c r="AS702" s="6"/>
    </row>
    <row r="703" spans="1:45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12"/>
      <c r="AK703" s="12"/>
      <c r="AL703" s="6"/>
      <c r="AM703" s="6"/>
      <c r="AN703" s="6"/>
      <c r="AO703" s="6"/>
      <c r="AP703" s="6"/>
      <c r="AQ703" s="6"/>
      <c r="AR703" s="6"/>
      <c r="AS703" s="6"/>
    </row>
    <row r="704" spans="1:45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12"/>
      <c r="AK704" s="12"/>
      <c r="AL704" s="6"/>
      <c r="AM704" s="6"/>
      <c r="AN704" s="6"/>
      <c r="AO704" s="6"/>
      <c r="AP704" s="6"/>
      <c r="AQ704" s="6"/>
      <c r="AR704" s="6"/>
      <c r="AS704" s="6"/>
    </row>
    <row r="705" spans="1:4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12"/>
      <c r="AK705" s="12"/>
      <c r="AL705" s="6"/>
      <c r="AM705" s="6"/>
      <c r="AN705" s="6"/>
      <c r="AO705" s="6"/>
      <c r="AP705" s="6"/>
      <c r="AQ705" s="6"/>
      <c r="AR705" s="6"/>
      <c r="AS705" s="6"/>
    </row>
    <row r="706" spans="1:45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12"/>
      <c r="AK706" s="12"/>
      <c r="AL706" s="6"/>
      <c r="AM706" s="6"/>
      <c r="AN706" s="6"/>
      <c r="AO706" s="6"/>
      <c r="AP706" s="6"/>
      <c r="AQ706" s="6"/>
      <c r="AR706" s="6"/>
      <c r="AS706" s="6"/>
    </row>
    <row r="707" spans="1:45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12"/>
      <c r="AK707" s="12"/>
      <c r="AL707" s="6"/>
      <c r="AM707" s="6"/>
      <c r="AN707" s="6"/>
      <c r="AO707" s="6"/>
      <c r="AP707" s="6"/>
      <c r="AQ707" s="6"/>
      <c r="AR707" s="6"/>
      <c r="AS707" s="6"/>
    </row>
    <row r="708" spans="1:45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12"/>
      <c r="AK708" s="12"/>
      <c r="AL708" s="6"/>
      <c r="AM708" s="6"/>
      <c r="AN708" s="6"/>
      <c r="AO708" s="6"/>
      <c r="AP708" s="6"/>
      <c r="AQ708" s="6"/>
      <c r="AR708" s="6"/>
      <c r="AS708" s="6"/>
    </row>
    <row r="709" spans="1:45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12"/>
      <c r="AK709" s="12"/>
      <c r="AL709" s="6"/>
      <c r="AM709" s="6"/>
      <c r="AN709" s="6"/>
      <c r="AO709" s="6"/>
      <c r="AP709" s="6"/>
      <c r="AQ709" s="6"/>
      <c r="AR709" s="6"/>
      <c r="AS709" s="6"/>
    </row>
    <row r="710" spans="1:45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12"/>
      <c r="AK710" s="12"/>
      <c r="AL710" s="6"/>
      <c r="AM710" s="6"/>
      <c r="AN710" s="6"/>
      <c r="AO710" s="6"/>
      <c r="AP710" s="6"/>
      <c r="AQ710" s="6"/>
      <c r="AR710" s="6"/>
      <c r="AS710" s="6"/>
    </row>
    <row r="711" spans="1:45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12"/>
      <c r="AK711" s="12"/>
      <c r="AL711" s="6"/>
      <c r="AM711" s="6"/>
      <c r="AN711" s="6"/>
      <c r="AO711" s="6"/>
      <c r="AP711" s="6"/>
      <c r="AQ711" s="6"/>
      <c r="AR711" s="6"/>
      <c r="AS711" s="6"/>
    </row>
    <row r="712" spans="1:45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12"/>
      <c r="AK712" s="12"/>
      <c r="AL712" s="6"/>
      <c r="AM712" s="6"/>
      <c r="AN712" s="6"/>
      <c r="AO712" s="6"/>
      <c r="AP712" s="6"/>
      <c r="AQ712" s="6"/>
      <c r="AR712" s="6"/>
      <c r="AS712" s="6"/>
    </row>
    <row r="713" spans="1:45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12"/>
      <c r="AK713" s="12"/>
      <c r="AL713" s="6"/>
      <c r="AM713" s="6"/>
      <c r="AN713" s="6"/>
      <c r="AO713" s="6"/>
      <c r="AP713" s="6"/>
      <c r="AQ713" s="6"/>
      <c r="AR713" s="6"/>
      <c r="AS713" s="6"/>
    </row>
    <row r="714" spans="1:45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12"/>
      <c r="AK714" s="12"/>
      <c r="AL714" s="6"/>
      <c r="AM714" s="6"/>
      <c r="AN714" s="6"/>
      <c r="AO714" s="6"/>
      <c r="AP714" s="6"/>
      <c r="AQ714" s="6"/>
      <c r="AR714" s="6"/>
      <c r="AS714" s="6"/>
    </row>
    <row r="715" spans="1:4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12"/>
      <c r="AK715" s="12"/>
      <c r="AL715" s="6"/>
      <c r="AM715" s="6"/>
      <c r="AN715" s="6"/>
      <c r="AO715" s="6"/>
      <c r="AP715" s="6"/>
      <c r="AQ715" s="6"/>
      <c r="AR715" s="6"/>
      <c r="AS715" s="6"/>
    </row>
    <row r="716" spans="1:45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12"/>
      <c r="AK716" s="12"/>
      <c r="AL716" s="6"/>
      <c r="AM716" s="6"/>
      <c r="AN716" s="6"/>
      <c r="AO716" s="6"/>
      <c r="AP716" s="6"/>
      <c r="AQ716" s="6"/>
      <c r="AR716" s="6"/>
      <c r="AS716" s="6"/>
    </row>
    <row r="717" spans="1:45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12"/>
      <c r="AK717" s="12"/>
      <c r="AL717" s="6"/>
      <c r="AM717" s="6"/>
      <c r="AN717" s="6"/>
      <c r="AO717" s="6"/>
      <c r="AP717" s="6"/>
      <c r="AQ717" s="6"/>
      <c r="AR717" s="6"/>
      <c r="AS717" s="6"/>
    </row>
    <row r="718" spans="1:45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12"/>
      <c r="AK718" s="12"/>
      <c r="AL718" s="6"/>
      <c r="AM718" s="6"/>
      <c r="AN718" s="6"/>
      <c r="AO718" s="6"/>
      <c r="AP718" s="6"/>
      <c r="AQ718" s="6"/>
      <c r="AR718" s="6"/>
      <c r="AS718" s="6"/>
    </row>
    <row r="719" spans="1:45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12"/>
      <c r="AK719" s="12"/>
      <c r="AL719" s="6"/>
      <c r="AM719" s="6"/>
      <c r="AN719" s="6"/>
      <c r="AO719" s="6"/>
      <c r="AP719" s="6"/>
      <c r="AQ719" s="6"/>
      <c r="AR719" s="6"/>
      <c r="AS719" s="6"/>
    </row>
    <row r="720" spans="1:45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12"/>
      <c r="AK720" s="12"/>
      <c r="AL720" s="6"/>
      <c r="AM720" s="6"/>
      <c r="AN720" s="6"/>
      <c r="AO720" s="6"/>
      <c r="AP720" s="6"/>
      <c r="AQ720" s="6"/>
      <c r="AR720" s="6"/>
      <c r="AS720" s="6"/>
    </row>
    <row r="721" spans="1:45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12"/>
      <c r="AK721" s="12"/>
      <c r="AL721" s="6"/>
      <c r="AM721" s="6"/>
      <c r="AN721" s="6"/>
      <c r="AO721" s="6"/>
      <c r="AP721" s="6"/>
      <c r="AQ721" s="6"/>
      <c r="AR721" s="6"/>
      <c r="AS721" s="6"/>
    </row>
    <row r="722" spans="1:45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12"/>
      <c r="AK722" s="12"/>
      <c r="AL722" s="6"/>
      <c r="AM722" s="6"/>
      <c r="AN722" s="6"/>
      <c r="AO722" s="6"/>
      <c r="AP722" s="6"/>
      <c r="AQ722" s="6"/>
      <c r="AR722" s="6"/>
      <c r="AS722" s="6"/>
    </row>
    <row r="723" spans="1:45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12"/>
      <c r="AK723" s="12"/>
      <c r="AL723" s="6"/>
      <c r="AM723" s="6"/>
      <c r="AN723" s="6"/>
      <c r="AO723" s="6"/>
      <c r="AP723" s="6"/>
      <c r="AQ723" s="6"/>
      <c r="AR723" s="6"/>
      <c r="AS723" s="6"/>
    </row>
    <row r="724" spans="1:45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12"/>
      <c r="AK724" s="12"/>
      <c r="AL724" s="6"/>
      <c r="AM724" s="6"/>
      <c r="AN724" s="6"/>
      <c r="AO724" s="6"/>
      <c r="AP724" s="6"/>
      <c r="AQ724" s="6"/>
      <c r="AR724" s="6"/>
      <c r="AS724" s="6"/>
    </row>
    <row r="725" spans="1:4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12"/>
      <c r="AK725" s="12"/>
      <c r="AL725" s="6"/>
      <c r="AM725" s="6"/>
      <c r="AN725" s="6"/>
      <c r="AO725" s="6"/>
      <c r="AP725" s="6"/>
      <c r="AQ725" s="6"/>
      <c r="AR725" s="6"/>
      <c r="AS725" s="6"/>
    </row>
    <row r="726" spans="1:45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12"/>
      <c r="AK726" s="12"/>
      <c r="AL726" s="6"/>
      <c r="AM726" s="6"/>
      <c r="AN726" s="6"/>
      <c r="AO726" s="6"/>
      <c r="AP726" s="6"/>
      <c r="AQ726" s="6"/>
      <c r="AR726" s="6"/>
      <c r="AS726" s="6"/>
    </row>
    <row r="727" spans="1:45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12"/>
      <c r="AK727" s="12"/>
      <c r="AL727" s="6"/>
      <c r="AM727" s="6"/>
      <c r="AN727" s="6"/>
      <c r="AO727" s="6"/>
      <c r="AP727" s="6"/>
      <c r="AQ727" s="6"/>
      <c r="AR727" s="6"/>
      <c r="AS727" s="6"/>
    </row>
    <row r="728" spans="1:45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12"/>
      <c r="AK728" s="12"/>
      <c r="AL728" s="6"/>
      <c r="AM728" s="6"/>
      <c r="AN728" s="6"/>
      <c r="AO728" s="6"/>
      <c r="AP728" s="6"/>
      <c r="AQ728" s="6"/>
      <c r="AR728" s="6"/>
      <c r="AS728" s="6"/>
    </row>
    <row r="729" spans="1:45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12"/>
      <c r="AK729" s="12"/>
      <c r="AL729" s="6"/>
      <c r="AM729" s="6"/>
      <c r="AN729" s="6"/>
      <c r="AO729" s="6"/>
      <c r="AP729" s="6"/>
      <c r="AQ729" s="6"/>
      <c r="AR729" s="6"/>
      <c r="AS729" s="6"/>
    </row>
    <row r="730" spans="1:45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12"/>
      <c r="AK730" s="12"/>
      <c r="AL730" s="6"/>
      <c r="AM730" s="6"/>
      <c r="AN730" s="6"/>
      <c r="AO730" s="6"/>
      <c r="AP730" s="6"/>
      <c r="AQ730" s="6"/>
      <c r="AR730" s="6"/>
      <c r="AS730" s="6"/>
    </row>
    <row r="731" spans="1:45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12"/>
      <c r="AK731" s="12"/>
      <c r="AL731" s="6"/>
      <c r="AM731" s="6"/>
      <c r="AN731" s="6"/>
      <c r="AO731" s="6"/>
      <c r="AP731" s="6"/>
      <c r="AQ731" s="6"/>
      <c r="AR731" s="6"/>
      <c r="AS731" s="6"/>
    </row>
    <row r="732" spans="1:45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12"/>
      <c r="AK732" s="12"/>
      <c r="AL732" s="6"/>
      <c r="AM732" s="6"/>
      <c r="AN732" s="6"/>
      <c r="AO732" s="6"/>
      <c r="AP732" s="6"/>
      <c r="AQ732" s="6"/>
      <c r="AR732" s="6"/>
      <c r="AS732" s="6"/>
    </row>
    <row r="733" spans="1:45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12"/>
      <c r="AK733" s="12"/>
      <c r="AL733" s="6"/>
      <c r="AM733" s="6"/>
      <c r="AN733" s="6"/>
      <c r="AO733" s="6"/>
      <c r="AP733" s="6"/>
      <c r="AQ733" s="6"/>
      <c r="AR733" s="6"/>
      <c r="AS733" s="6"/>
    </row>
    <row r="734" spans="1:45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12"/>
      <c r="AK734" s="12"/>
      <c r="AL734" s="6"/>
      <c r="AM734" s="6"/>
      <c r="AN734" s="6"/>
      <c r="AO734" s="6"/>
      <c r="AP734" s="6"/>
      <c r="AQ734" s="6"/>
      <c r="AR734" s="6"/>
      <c r="AS734" s="6"/>
    </row>
    <row r="735" spans="1:4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12"/>
      <c r="AK735" s="12"/>
      <c r="AL735" s="6"/>
      <c r="AM735" s="6"/>
      <c r="AN735" s="6"/>
      <c r="AO735" s="6"/>
      <c r="AP735" s="6"/>
      <c r="AQ735" s="6"/>
      <c r="AR735" s="6"/>
      <c r="AS735" s="6"/>
    </row>
    <row r="736" spans="1:45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12"/>
      <c r="AK736" s="12"/>
      <c r="AL736" s="6"/>
      <c r="AM736" s="6"/>
      <c r="AN736" s="6"/>
      <c r="AO736" s="6"/>
      <c r="AP736" s="6"/>
      <c r="AQ736" s="6"/>
      <c r="AR736" s="6"/>
      <c r="AS736" s="6"/>
    </row>
    <row r="737" spans="1:45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12"/>
      <c r="AK737" s="12"/>
      <c r="AL737" s="6"/>
      <c r="AM737" s="6"/>
      <c r="AN737" s="6"/>
      <c r="AO737" s="6"/>
      <c r="AP737" s="6"/>
      <c r="AQ737" s="6"/>
      <c r="AR737" s="6"/>
      <c r="AS737" s="6"/>
    </row>
    <row r="738" spans="1:45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12"/>
      <c r="AK738" s="12"/>
      <c r="AL738" s="6"/>
      <c r="AM738" s="6"/>
      <c r="AN738" s="6"/>
      <c r="AO738" s="6"/>
      <c r="AP738" s="6"/>
      <c r="AQ738" s="6"/>
      <c r="AR738" s="6"/>
      <c r="AS738" s="6"/>
    </row>
    <row r="739" spans="1:45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12"/>
      <c r="AK739" s="12"/>
      <c r="AL739" s="6"/>
      <c r="AM739" s="6"/>
      <c r="AN739" s="6"/>
      <c r="AO739" s="6"/>
      <c r="AP739" s="6"/>
      <c r="AQ739" s="6"/>
      <c r="AR739" s="6"/>
      <c r="AS739" s="6"/>
    </row>
    <row r="740" spans="1:45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12"/>
      <c r="AK740" s="12"/>
      <c r="AL740" s="6"/>
      <c r="AM740" s="6"/>
      <c r="AN740" s="6"/>
      <c r="AO740" s="6"/>
      <c r="AP740" s="6"/>
      <c r="AQ740" s="6"/>
      <c r="AR740" s="6"/>
      <c r="AS740" s="6"/>
    </row>
    <row r="741" spans="1:45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12"/>
      <c r="AK741" s="12"/>
      <c r="AL741" s="6"/>
      <c r="AM741" s="6"/>
      <c r="AN741" s="6"/>
      <c r="AO741" s="6"/>
      <c r="AP741" s="6"/>
      <c r="AQ741" s="6"/>
      <c r="AR741" s="6"/>
      <c r="AS741" s="6"/>
    </row>
    <row r="742" spans="1:45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12"/>
      <c r="AK742" s="12"/>
      <c r="AL742" s="6"/>
      <c r="AM742" s="6"/>
      <c r="AN742" s="6"/>
      <c r="AO742" s="6"/>
      <c r="AP742" s="6"/>
      <c r="AQ742" s="6"/>
      <c r="AR742" s="6"/>
      <c r="AS742" s="6"/>
    </row>
    <row r="743" spans="1:45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12"/>
      <c r="AK743" s="12"/>
      <c r="AL743" s="6"/>
      <c r="AM743" s="6"/>
      <c r="AN743" s="6"/>
      <c r="AO743" s="6"/>
      <c r="AP743" s="6"/>
      <c r="AQ743" s="6"/>
      <c r="AR743" s="6"/>
      <c r="AS743" s="6"/>
    </row>
    <row r="744" spans="1:45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12"/>
      <c r="AK744" s="12"/>
      <c r="AL744" s="6"/>
      <c r="AM744" s="6"/>
      <c r="AN744" s="6"/>
      <c r="AO744" s="6"/>
      <c r="AP744" s="6"/>
      <c r="AQ744" s="6"/>
      <c r="AR744" s="6"/>
      <c r="AS744" s="6"/>
    </row>
    <row r="745" spans="1: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12"/>
      <c r="AK745" s="12"/>
      <c r="AL745" s="6"/>
      <c r="AM745" s="6"/>
      <c r="AN745" s="6"/>
      <c r="AO745" s="6"/>
      <c r="AP745" s="6"/>
      <c r="AQ745" s="6"/>
      <c r="AR745" s="6"/>
      <c r="AS745" s="6"/>
    </row>
    <row r="746" spans="1:45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12"/>
      <c r="AK746" s="12"/>
      <c r="AL746" s="6"/>
      <c r="AM746" s="6"/>
      <c r="AN746" s="6"/>
      <c r="AO746" s="6"/>
      <c r="AP746" s="6"/>
      <c r="AQ746" s="6"/>
      <c r="AR746" s="6"/>
      <c r="AS746" s="6"/>
    </row>
    <row r="747" spans="1:45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12"/>
      <c r="AK747" s="12"/>
      <c r="AL747" s="6"/>
      <c r="AM747" s="6"/>
      <c r="AN747" s="6"/>
      <c r="AO747" s="6"/>
      <c r="AP747" s="6"/>
      <c r="AQ747" s="6"/>
      <c r="AR747" s="6"/>
      <c r="AS747" s="6"/>
    </row>
    <row r="748" spans="1:45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12"/>
      <c r="AK748" s="12"/>
      <c r="AL748" s="6"/>
      <c r="AM748" s="6"/>
      <c r="AN748" s="6"/>
      <c r="AO748" s="6"/>
      <c r="AP748" s="6"/>
      <c r="AQ748" s="6"/>
      <c r="AR748" s="6"/>
      <c r="AS748" s="6"/>
    </row>
    <row r="749" spans="1:45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12"/>
      <c r="AK749" s="12"/>
      <c r="AL749" s="6"/>
      <c r="AM749" s="6"/>
      <c r="AN749" s="6"/>
      <c r="AO749" s="6"/>
      <c r="AP749" s="6"/>
      <c r="AQ749" s="6"/>
      <c r="AR749" s="6"/>
      <c r="AS749" s="6"/>
    </row>
    <row r="750" spans="1:45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12"/>
      <c r="AK750" s="12"/>
      <c r="AL750" s="6"/>
      <c r="AM750" s="6"/>
      <c r="AN750" s="6"/>
      <c r="AO750" s="6"/>
      <c r="AP750" s="6"/>
      <c r="AQ750" s="6"/>
      <c r="AR750" s="6"/>
      <c r="AS750" s="6"/>
    </row>
    <row r="751" spans="1:45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12"/>
      <c r="AK751" s="12"/>
      <c r="AL751" s="6"/>
      <c r="AM751" s="6"/>
      <c r="AN751" s="6"/>
      <c r="AO751" s="6"/>
      <c r="AP751" s="6"/>
      <c r="AQ751" s="6"/>
      <c r="AR751" s="6"/>
      <c r="AS751" s="6"/>
    </row>
    <row r="752" spans="1:45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12"/>
      <c r="AK752" s="12"/>
      <c r="AL752" s="6"/>
      <c r="AM752" s="6"/>
      <c r="AN752" s="6"/>
      <c r="AO752" s="6"/>
      <c r="AP752" s="6"/>
      <c r="AQ752" s="6"/>
      <c r="AR752" s="6"/>
      <c r="AS752" s="6"/>
    </row>
    <row r="753" spans="1:45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12"/>
      <c r="AK753" s="12"/>
      <c r="AL753" s="6"/>
      <c r="AM753" s="6"/>
      <c r="AN753" s="6"/>
      <c r="AO753" s="6"/>
      <c r="AP753" s="6"/>
      <c r="AQ753" s="6"/>
      <c r="AR753" s="6"/>
      <c r="AS753" s="6"/>
    </row>
    <row r="754" spans="1:45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12"/>
      <c r="AK754" s="12"/>
      <c r="AL754" s="6"/>
      <c r="AM754" s="6"/>
      <c r="AN754" s="6"/>
      <c r="AO754" s="6"/>
      <c r="AP754" s="6"/>
      <c r="AQ754" s="6"/>
      <c r="AR754" s="6"/>
      <c r="AS754" s="6"/>
    </row>
    <row r="755" spans="1:4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12"/>
      <c r="AK755" s="12"/>
      <c r="AL755" s="6"/>
      <c r="AM755" s="6"/>
      <c r="AN755" s="6"/>
      <c r="AO755" s="6"/>
      <c r="AP755" s="6"/>
      <c r="AQ755" s="6"/>
      <c r="AR755" s="6"/>
      <c r="AS755" s="6"/>
    </row>
    <row r="756" spans="1:45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12"/>
      <c r="AK756" s="12"/>
      <c r="AL756" s="6"/>
      <c r="AM756" s="6"/>
      <c r="AN756" s="6"/>
      <c r="AO756" s="6"/>
      <c r="AP756" s="6"/>
      <c r="AQ756" s="6"/>
      <c r="AR756" s="6"/>
      <c r="AS756" s="6"/>
    </row>
    <row r="757" spans="1:45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12"/>
      <c r="AK757" s="12"/>
      <c r="AL757" s="6"/>
      <c r="AM757" s="6"/>
      <c r="AN757" s="6"/>
      <c r="AO757" s="6"/>
      <c r="AP757" s="6"/>
      <c r="AQ757" s="6"/>
      <c r="AR757" s="6"/>
      <c r="AS757" s="6"/>
    </row>
    <row r="758" spans="1:45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12"/>
      <c r="AK758" s="12"/>
      <c r="AL758" s="6"/>
      <c r="AM758" s="6"/>
      <c r="AN758" s="6"/>
      <c r="AO758" s="6"/>
      <c r="AP758" s="6"/>
      <c r="AQ758" s="6"/>
      <c r="AR758" s="6"/>
      <c r="AS758" s="6"/>
    </row>
    <row r="759" spans="1:45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12"/>
      <c r="AK759" s="12"/>
      <c r="AL759" s="6"/>
      <c r="AM759" s="6"/>
      <c r="AN759" s="6"/>
      <c r="AO759" s="6"/>
      <c r="AP759" s="6"/>
      <c r="AQ759" s="6"/>
      <c r="AR759" s="6"/>
      <c r="AS759" s="6"/>
    </row>
    <row r="760" spans="1:45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12"/>
      <c r="AK760" s="12"/>
      <c r="AL760" s="6"/>
      <c r="AM760" s="6"/>
      <c r="AN760" s="6"/>
      <c r="AO760" s="6"/>
      <c r="AP760" s="6"/>
      <c r="AQ760" s="6"/>
      <c r="AR760" s="6"/>
      <c r="AS760" s="6"/>
    </row>
    <row r="761" spans="1:45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12"/>
      <c r="AK761" s="12"/>
      <c r="AL761" s="6"/>
      <c r="AM761" s="6"/>
      <c r="AN761" s="6"/>
      <c r="AO761" s="6"/>
      <c r="AP761" s="6"/>
      <c r="AQ761" s="6"/>
      <c r="AR761" s="6"/>
      <c r="AS761" s="6"/>
    </row>
    <row r="762" spans="1:45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12"/>
      <c r="AK762" s="12"/>
      <c r="AL762" s="6"/>
      <c r="AM762" s="6"/>
      <c r="AN762" s="6"/>
      <c r="AO762" s="6"/>
      <c r="AP762" s="6"/>
      <c r="AQ762" s="6"/>
      <c r="AR762" s="6"/>
      <c r="AS762" s="6"/>
    </row>
    <row r="763" spans="1:45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12"/>
      <c r="AK763" s="12"/>
      <c r="AL763" s="6"/>
      <c r="AM763" s="6"/>
      <c r="AN763" s="6"/>
      <c r="AO763" s="6"/>
      <c r="AP763" s="6"/>
      <c r="AQ763" s="6"/>
      <c r="AR763" s="6"/>
      <c r="AS763" s="6"/>
    </row>
    <row r="764" spans="1:45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12"/>
      <c r="AK764" s="12"/>
      <c r="AL764" s="6"/>
      <c r="AM764" s="6"/>
      <c r="AN764" s="6"/>
      <c r="AO764" s="6"/>
      <c r="AP764" s="6"/>
      <c r="AQ764" s="6"/>
      <c r="AR764" s="6"/>
      <c r="AS764" s="6"/>
    </row>
    <row r="765" spans="1:4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12"/>
      <c r="AK765" s="12"/>
      <c r="AL765" s="6"/>
      <c r="AM765" s="6"/>
      <c r="AN765" s="6"/>
      <c r="AO765" s="6"/>
      <c r="AP765" s="6"/>
      <c r="AQ765" s="6"/>
      <c r="AR765" s="6"/>
      <c r="AS765" s="6"/>
    </row>
    <row r="766" spans="1:45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12"/>
      <c r="AK766" s="12"/>
      <c r="AL766" s="6"/>
      <c r="AM766" s="6"/>
      <c r="AN766" s="6"/>
      <c r="AO766" s="6"/>
      <c r="AP766" s="6"/>
      <c r="AQ766" s="6"/>
      <c r="AR766" s="6"/>
      <c r="AS766" s="6"/>
    </row>
    <row r="767" spans="1:45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12"/>
      <c r="AK767" s="12"/>
      <c r="AL767" s="6"/>
      <c r="AM767" s="6"/>
      <c r="AN767" s="6"/>
      <c r="AO767" s="6"/>
      <c r="AP767" s="6"/>
      <c r="AQ767" s="6"/>
      <c r="AR767" s="6"/>
      <c r="AS767" s="6"/>
    </row>
    <row r="768" spans="1:45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12"/>
      <c r="AK768" s="12"/>
      <c r="AL768" s="6"/>
      <c r="AM768" s="6"/>
      <c r="AN768" s="6"/>
      <c r="AO768" s="6"/>
      <c r="AP768" s="6"/>
      <c r="AQ768" s="6"/>
      <c r="AR768" s="6"/>
      <c r="AS768" s="6"/>
    </row>
    <row r="769" spans="1:45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12"/>
      <c r="AK769" s="12"/>
      <c r="AL769" s="6"/>
      <c r="AM769" s="6"/>
      <c r="AN769" s="6"/>
      <c r="AO769" s="6"/>
      <c r="AP769" s="6"/>
      <c r="AQ769" s="6"/>
      <c r="AR769" s="6"/>
      <c r="AS769" s="6"/>
    </row>
    <row r="770" spans="1:45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12"/>
      <c r="AK770" s="12"/>
      <c r="AL770" s="6"/>
      <c r="AM770" s="6"/>
      <c r="AN770" s="6"/>
      <c r="AO770" s="6"/>
      <c r="AP770" s="6"/>
      <c r="AQ770" s="6"/>
      <c r="AR770" s="6"/>
      <c r="AS770" s="6"/>
    </row>
    <row r="771" spans="1:45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12"/>
      <c r="AK771" s="12"/>
      <c r="AL771" s="6"/>
      <c r="AM771" s="6"/>
      <c r="AN771" s="6"/>
      <c r="AO771" s="6"/>
      <c r="AP771" s="6"/>
      <c r="AQ771" s="6"/>
      <c r="AR771" s="6"/>
      <c r="AS771" s="6"/>
    </row>
    <row r="772" spans="1:45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12"/>
      <c r="AK772" s="12"/>
      <c r="AL772" s="6"/>
      <c r="AM772" s="6"/>
      <c r="AN772" s="6"/>
      <c r="AO772" s="6"/>
      <c r="AP772" s="6"/>
      <c r="AQ772" s="6"/>
      <c r="AR772" s="6"/>
      <c r="AS772" s="6"/>
    </row>
    <row r="773" spans="1:45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12"/>
      <c r="AK773" s="12"/>
      <c r="AL773" s="6"/>
      <c r="AM773" s="6"/>
      <c r="AN773" s="6"/>
      <c r="AO773" s="6"/>
      <c r="AP773" s="6"/>
      <c r="AQ773" s="6"/>
      <c r="AR773" s="6"/>
      <c r="AS773" s="6"/>
    </row>
    <row r="774" spans="1:45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12"/>
      <c r="AK774" s="12"/>
      <c r="AL774" s="6"/>
      <c r="AM774" s="6"/>
      <c r="AN774" s="6"/>
      <c r="AO774" s="6"/>
      <c r="AP774" s="6"/>
      <c r="AQ774" s="6"/>
      <c r="AR774" s="6"/>
      <c r="AS774" s="6"/>
    </row>
    <row r="775" spans="1:4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12"/>
      <c r="AK775" s="12"/>
      <c r="AL775" s="6"/>
      <c r="AM775" s="6"/>
      <c r="AN775" s="6"/>
      <c r="AO775" s="6"/>
      <c r="AP775" s="6"/>
      <c r="AQ775" s="6"/>
      <c r="AR775" s="6"/>
      <c r="AS775" s="6"/>
    </row>
    <row r="776" spans="1:45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12"/>
      <c r="AK776" s="12"/>
      <c r="AL776" s="6"/>
      <c r="AM776" s="6"/>
      <c r="AN776" s="6"/>
      <c r="AO776" s="6"/>
      <c r="AP776" s="6"/>
      <c r="AQ776" s="6"/>
      <c r="AR776" s="6"/>
      <c r="AS776" s="6"/>
    </row>
    <row r="777" spans="1:45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12"/>
      <c r="AK777" s="12"/>
      <c r="AL777" s="6"/>
      <c r="AM777" s="6"/>
      <c r="AN777" s="6"/>
      <c r="AO777" s="6"/>
      <c r="AP777" s="6"/>
      <c r="AQ777" s="6"/>
      <c r="AR777" s="6"/>
      <c r="AS777" s="6"/>
    </row>
    <row r="778" spans="1:45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12"/>
      <c r="AK778" s="12"/>
      <c r="AL778" s="6"/>
      <c r="AM778" s="6"/>
      <c r="AN778" s="6"/>
      <c r="AO778" s="6"/>
      <c r="AP778" s="6"/>
      <c r="AQ778" s="6"/>
      <c r="AR778" s="6"/>
      <c r="AS778" s="6"/>
    </row>
    <row r="779" spans="1:45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12"/>
      <c r="AK779" s="12"/>
      <c r="AL779" s="6"/>
      <c r="AM779" s="6"/>
      <c r="AN779" s="6"/>
      <c r="AO779" s="6"/>
      <c r="AP779" s="6"/>
      <c r="AQ779" s="6"/>
      <c r="AR779" s="6"/>
      <c r="AS779" s="6"/>
    </row>
    <row r="780" spans="1:45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12"/>
      <c r="AK780" s="12"/>
      <c r="AL780" s="6"/>
      <c r="AM780" s="6"/>
      <c r="AN780" s="6"/>
      <c r="AO780" s="6"/>
      <c r="AP780" s="6"/>
      <c r="AQ780" s="6"/>
      <c r="AR780" s="6"/>
      <c r="AS780" s="6"/>
    </row>
    <row r="781" spans="1:45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12"/>
      <c r="AK781" s="12"/>
      <c r="AL781" s="6"/>
      <c r="AM781" s="6"/>
      <c r="AN781" s="6"/>
      <c r="AO781" s="6"/>
      <c r="AP781" s="6"/>
      <c r="AQ781" s="6"/>
      <c r="AR781" s="6"/>
      <c r="AS781" s="6"/>
    </row>
    <row r="782" spans="1:45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12"/>
      <c r="AK782" s="12"/>
      <c r="AL782" s="6"/>
      <c r="AM782" s="6"/>
      <c r="AN782" s="6"/>
      <c r="AO782" s="6"/>
      <c r="AP782" s="6"/>
      <c r="AQ782" s="6"/>
      <c r="AR782" s="6"/>
      <c r="AS782" s="6"/>
    </row>
    <row r="783" spans="1:45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12"/>
      <c r="AK783" s="12"/>
      <c r="AL783" s="6"/>
      <c r="AM783" s="6"/>
      <c r="AN783" s="6"/>
      <c r="AO783" s="6"/>
      <c r="AP783" s="6"/>
      <c r="AQ783" s="6"/>
      <c r="AR783" s="6"/>
      <c r="AS783" s="6"/>
    </row>
    <row r="784" spans="1:45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12"/>
      <c r="AK784" s="12"/>
      <c r="AL784" s="6"/>
      <c r="AM784" s="6"/>
      <c r="AN784" s="6"/>
      <c r="AO784" s="6"/>
      <c r="AP784" s="6"/>
      <c r="AQ784" s="6"/>
      <c r="AR784" s="6"/>
      <c r="AS784" s="6"/>
    </row>
    <row r="785" spans="1:4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12"/>
      <c r="AK785" s="12"/>
      <c r="AL785" s="6"/>
      <c r="AM785" s="6"/>
      <c r="AN785" s="6"/>
      <c r="AO785" s="6"/>
      <c r="AP785" s="6"/>
      <c r="AQ785" s="6"/>
      <c r="AR785" s="6"/>
      <c r="AS785" s="6"/>
    </row>
    <row r="786" spans="1:45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12"/>
      <c r="AK786" s="12"/>
      <c r="AL786" s="6"/>
      <c r="AM786" s="6"/>
      <c r="AN786" s="6"/>
      <c r="AO786" s="6"/>
      <c r="AP786" s="6"/>
      <c r="AQ786" s="6"/>
      <c r="AR786" s="6"/>
      <c r="AS786" s="6"/>
    </row>
    <row r="787" spans="1:45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12"/>
      <c r="AK787" s="12"/>
      <c r="AL787" s="6"/>
      <c r="AM787" s="6"/>
      <c r="AN787" s="6"/>
      <c r="AO787" s="6"/>
      <c r="AP787" s="6"/>
      <c r="AQ787" s="6"/>
      <c r="AR787" s="6"/>
      <c r="AS787" s="6"/>
    </row>
    <row r="788" spans="1:45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12"/>
      <c r="AK788" s="12"/>
      <c r="AL788" s="6"/>
      <c r="AM788" s="6"/>
      <c r="AN788" s="6"/>
      <c r="AO788" s="6"/>
      <c r="AP788" s="6"/>
      <c r="AQ788" s="6"/>
      <c r="AR788" s="6"/>
      <c r="AS788" s="6"/>
    </row>
    <row r="789" spans="1:45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12"/>
      <c r="AK789" s="12"/>
      <c r="AL789" s="6"/>
      <c r="AM789" s="6"/>
      <c r="AN789" s="6"/>
      <c r="AO789" s="6"/>
      <c r="AP789" s="6"/>
      <c r="AQ789" s="6"/>
      <c r="AR789" s="6"/>
      <c r="AS789" s="6"/>
    </row>
    <row r="790" spans="1:45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12"/>
      <c r="AK790" s="12"/>
      <c r="AL790" s="6"/>
      <c r="AM790" s="6"/>
      <c r="AN790" s="6"/>
      <c r="AO790" s="6"/>
      <c r="AP790" s="6"/>
      <c r="AQ790" s="6"/>
      <c r="AR790" s="6"/>
      <c r="AS790" s="6"/>
    </row>
    <row r="791" spans="1:45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12"/>
      <c r="AK791" s="12"/>
      <c r="AL791" s="6"/>
      <c r="AM791" s="6"/>
      <c r="AN791" s="6"/>
      <c r="AO791" s="6"/>
      <c r="AP791" s="6"/>
      <c r="AQ791" s="6"/>
      <c r="AR791" s="6"/>
      <c r="AS791" s="6"/>
    </row>
    <row r="792" spans="1:45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12"/>
      <c r="AK792" s="12"/>
      <c r="AL792" s="6"/>
      <c r="AM792" s="6"/>
      <c r="AN792" s="6"/>
      <c r="AO792" s="6"/>
      <c r="AP792" s="6"/>
      <c r="AQ792" s="6"/>
      <c r="AR792" s="6"/>
      <c r="AS792" s="6"/>
    </row>
    <row r="793" spans="1:45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12"/>
      <c r="AK793" s="12"/>
      <c r="AL793" s="6"/>
      <c r="AM793" s="6"/>
      <c r="AN793" s="6"/>
      <c r="AO793" s="6"/>
      <c r="AP793" s="6"/>
      <c r="AQ793" s="6"/>
      <c r="AR793" s="6"/>
      <c r="AS793" s="6"/>
    </row>
    <row r="794" spans="1:45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12"/>
      <c r="AK794" s="12"/>
      <c r="AL794" s="6"/>
      <c r="AM794" s="6"/>
      <c r="AN794" s="6"/>
      <c r="AO794" s="6"/>
      <c r="AP794" s="6"/>
      <c r="AQ794" s="6"/>
      <c r="AR794" s="6"/>
      <c r="AS794" s="6"/>
    </row>
    <row r="795" spans="1:4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12"/>
      <c r="AK795" s="12"/>
      <c r="AL795" s="6"/>
      <c r="AM795" s="6"/>
      <c r="AN795" s="6"/>
      <c r="AO795" s="6"/>
      <c r="AP795" s="6"/>
      <c r="AQ795" s="6"/>
      <c r="AR795" s="6"/>
      <c r="AS795" s="6"/>
    </row>
    <row r="796" spans="1:45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12"/>
      <c r="AK796" s="12"/>
      <c r="AL796" s="6"/>
      <c r="AM796" s="6"/>
      <c r="AN796" s="6"/>
      <c r="AO796" s="6"/>
      <c r="AP796" s="6"/>
      <c r="AQ796" s="6"/>
      <c r="AR796" s="6"/>
      <c r="AS796" s="6"/>
    </row>
    <row r="797" spans="1:45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12"/>
      <c r="AK797" s="12"/>
      <c r="AL797" s="6"/>
      <c r="AM797" s="6"/>
      <c r="AN797" s="6"/>
      <c r="AO797" s="6"/>
      <c r="AP797" s="6"/>
      <c r="AQ797" s="6"/>
      <c r="AR797" s="6"/>
      <c r="AS797" s="6"/>
    </row>
    <row r="798" spans="1:45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12"/>
      <c r="AK798" s="12"/>
      <c r="AL798" s="6"/>
      <c r="AM798" s="6"/>
      <c r="AN798" s="6"/>
      <c r="AO798" s="6"/>
      <c r="AP798" s="6"/>
      <c r="AQ798" s="6"/>
      <c r="AR798" s="6"/>
      <c r="AS798" s="6"/>
    </row>
    <row r="799" spans="1:45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12"/>
      <c r="AK799" s="12"/>
      <c r="AL799" s="6"/>
      <c r="AM799" s="6"/>
      <c r="AN799" s="6"/>
      <c r="AO799" s="6"/>
      <c r="AP799" s="6"/>
      <c r="AQ799" s="6"/>
      <c r="AR799" s="6"/>
      <c r="AS799" s="6"/>
    </row>
    <row r="800" spans="1:45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12"/>
      <c r="AK800" s="12"/>
      <c r="AL800" s="6"/>
      <c r="AM800" s="6"/>
      <c r="AN800" s="6"/>
      <c r="AO800" s="6"/>
      <c r="AP800" s="6"/>
      <c r="AQ800" s="6"/>
      <c r="AR800" s="6"/>
      <c r="AS800" s="6"/>
    </row>
    <row r="801" spans="1:45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12"/>
      <c r="AK801" s="12"/>
      <c r="AL801" s="6"/>
      <c r="AM801" s="6"/>
      <c r="AN801" s="6"/>
      <c r="AO801" s="6"/>
      <c r="AP801" s="6"/>
      <c r="AQ801" s="6"/>
      <c r="AR801" s="6"/>
      <c r="AS801" s="6"/>
    </row>
    <row r="802" spans="1:45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12"/>
      <c r="AK802" s="12"/>
      <c r="AL802" s="6"/>
      <c r="AM802" s="6"/>
      <c r="AN802" s="6"/>
      <c r="AO802" s="6"/>
      <c r="AP802" s="6"/>
      <c r="AQ802" s="6"/>
      <c r="AR802" s="6"/>
      <c r="AS802" s="6"/>
    </row>
    <row r="803" spans="1:45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12"/>
      <c r="AK803" s="12"/>
      <c r="AL803" s="6"/>
      <c r="AM803" s="6"/>
      <c r="AN803" s="6"/>
      <c r="AO803" s="6"/>
      <c r="AP803" s="6"/>
      <c r="AQ803" s="6"/>
      <c r="AR803" s="6"/>
      <c r="AS803" s="6"/>
    </row>
    <row r="804" spans="1:45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12"/>
      <c r="AK804" s="12"/>
      <c r="AL804" s="6"/>
      <c r="AM804" s="6"/>
      <c r="AN804" s="6"/>
      <c r="AO804" s="6"/>
      <c r="AP804" s="6"/>
      <c r="AQ804" s="6"/>
      <c r="AR804" s="6"/>
      <c r="AS804" s="6"/>
    </row>
    <row r="805" spans="1:4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12"/>
      <c r="AK805" s="12"/>
      <c r="AL805" s="6"/>
      <c r="AM805" s="6"/>
      <c r="AN805" s="6"/>
      <c r="AO805" s="6"/>
      <c r="AP805" s="6"/>
      <c r="AQ805" s="6"/>
      <c r="AR805" s="6"/>
      <c r="AS805" s="6"/>
    </row>
    <row r="806" spans="1:45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12"/>
      <c r="AK806" s="12"/>
      <c r="AL806" s="6"/>
      <c r="AM806" s="6"/>
      <c r="AN806" s="6"/>
      <c r="AO806" s="6"/>
      <c r="AP806" s="6"/>
      <c r="AQ806" s="6"/>
      <c r="AR806" s="6"/>
      <c r="AS806" s="6"/>
    </row>
    <row r="807" spans="1:45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12"/>
      <c r="AK807" s="12"/>
      <c r="AL807" s="6"/>
      <c r="AM807" s="6"/>
      <c r="AN807" s="6"/>
      <c r="AO807" s="6"/>
      <c r="AP807" s="6"/>
      <c r="AQ807" s="6"/>
      <c r="AR807" s="6"/>
      <c r="AS807" s="6"/>
    </row>
    <row r="808" spans="1:45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12"/>
      <c r="AK808" s="12"/>
      <c r="AL808" s="6"/>
      <c r="AM808" s="6"/>
      <c r="AN808" s="6"/>
      <c r="AO808" s="6"/>
      <c r="AP808" s="6"/>
      <c r="AQ808" s="6"/>
      <c r="AR808" s="6"/>
      <c r="AS808" s="6"/>
    </row>
    <row r="809" spans="1:45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12"/>
      <c r="AK809" s="12"/>
      <c r="AL809" s="6"/>
      <c r="AM809" s="6"/>
      <c r="AN809" s="6"/>
      <c r="AO809" s="6"/>
      <c r="AP809" s="6"/>
      <c r="AQ809" s="6"/>
      <c r="AR809" s="6"/>
      <c r="AS809" s="6"/>
    </row>
    <row r="810" spans="1:45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12"/>
      <c r="AK810" s="12"/>
      <c r="AL810" s="6"/>
      <c r="AM810" s="6"/>
      <c r="AN810" s="6"/>
      <c r="AO810" s="6"/>
      <c r="AP810" s="6"/>
      <c r="AQ810" s="6"/>
      <c r="AR810" s="6"/>
      <c r="AS810" s="6"/>
    </row>
    <row r="811" spans="1:45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12"/>
      <c r="AK811" s="12"/>
      <c r="AL811" s="6"/>
      <c r="AM811" s="6"/>
      <c r="AN811" s="6"/>
      <c r="AO811" s="6"/>
      <c r="AP811" s="6"/>
      <c r="AQ811" s="6"/>
      <c r="AR811" s="6"/>
      <c r="AS811" s="6"/>
    </row>
    <row r="812" spans="1:45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12"/>
      <c r="AK812" s="12"/>
      <c r="AL812" s="6"/>
      <c r="AM812" s="6"/>
      <c r="AN812" s="6"/>
      <c r="AO812" s="6"/>
      <c r="AP812" s="6"/>
      <c r="AQ812" s="6"/>
      <c r="AR812" s="6"/>
      <c r="AS812" s="6"/>
    </row>
    <row r="813" spans="1:45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12"/>
      <c r="AK813" s="12"/>
      <c r="AL813" s="6"/>
      <c r="AM813" s="6"/>
      <c r="AN813" s="6"/>
      <c r="AO813" s="6"/>
      <c r="AP813" s="6"/>
      <c r="AQ813" s="6"/>
      <c r="AR813" s="6"/>
      <c r="AS813" s="6"/>
    </row>
    <row r="814" spans="1:45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12"/>
      <c r="AK814" s="12"/>
      <c r="AL814" s="6"/>
      <c r="AM814" s="6"/>
      <c r="AN814" s="6"/>
      <c r="AO814" s="6"/>
      <c r="AP814" s="6"/>
      <c r="AQ814" s="6"/>
      <c r="AR814" s="6"/>
      <c r="AS814" s="6"/>
    </row>
    <row r="815" spans="1:4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12"/>
      <c r="AK815" s="12"/>
      <c r="AL815" s="6"/>
      <c r="AM815" s="6"/>
      <c r="AN815" s="6"/>
      <c r="AO815" s="6"/>
      <c r="AP815" s="6"/>
      <c r="AQ815" s="6"/>
      <c r="AR815" s="6"/>
      <c r="AS815" s="6"/>
    </row>
    <row r="816" spans="1:45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12"/>
      <c r="AK816" s="12"/>
      <c r="AL816" s="6"/>
      <c r="AM816" s="6"/>
      <c r="AN816" s="6"/>
      <c r="AO816" s="6"/>
      <c r="AP816" s="6"/>
      <c r="AQ816" s="6"/>
      <c r="AR816" s="6"/>
      <c r="AS816" s="6"/>
    </row>
    <row r="817" spans="1:45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12"/>
      <c r="AK817" s="12"/>
      <c r="AL817" s="6"/>
      <c r="AM817" s="6"/>
      <c r="AN817" s="6"/>
      <c r="AO817" s="6"/>
      <c r="AP817" s="6"/>
      <c r="AQ817" s="6"/>
      <c r="AR817" s="6"/>
      <c r="AS817" s="6"/>
    </row>
    <row r="818" spans="1:45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12"/>
      <c r="AK818" s="12"/>
      <c r="AL818" s="6"/>
      <c r="AM818" s="6"/>
      <c r="AN818" s="6"/>
      <c r="AO818" s="6"/>
      <c r="AP818" s="6"/>
      <c r="AQ818" s="6"/>
      <c r="AR818" s="6"/>
      <c r="AS818" s="6"/>
    </row>
    <row r="819" spans="1:45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12"/>
      <c r="AK819" s="12"/>
      <c r="AL819" s="6"/>
      <c r="AM819" s="6"/>
      <c r="AN819" s="6"/>
      <c r="AO819" s="6"/>
      <c r="AP819" s="6"/>
      <c r="AQ819" s="6"/>
      <c r="AR819" s="6"/>
      <c r="AS819" s="6"/>
    </row>
    <row r="820" spans="1:45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12"/>
      <c r="AK820" s="12"/>
      <c r="AL820" s="6"/>
      <c r="AM820" s="6"/>
      <c r="AN820" s="6"/>
      <c r="AO820" s="6"/>
      <c r="AP820" s="6"/>
      <c r="AQ820" s="6"/>
      <c r="AR820" s="6"/>
      <c r="AS820" s="6"/>
    </row>
    <row r="821" spans="1:45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12"/>
      <c r="AK821" s="12"/>
      <c r="AL821" s="6"/>
      <c r="AM821" s="6"/>
      <c r="AN821" s="6"/>
      <c r="AO821" s="6"/>
      <c r="AP821" s="6"/>
      <c r="AQ821" s="6"/>
      <c r="AR821" s="6"/>
      <c r="AS821" s="6"/>
    </row>
    <row r="822" spans="1:45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12"/>
      <c r="AK822" s="12"/>
      <c r="AL822" s="6"/>
      <c r="AM822" s="6"/>
      <c r="AN822" s="6"/>
      <c r="AO822" s="6"/>
      <c r="AP822" s="6"/>
      <c r="AQ822" s="6"/>
      <c r="AR822" s="6"/>
      <c r="AS822" s="6"/>
    </row>
    <row r="823" spans="1:45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12"/>
      <c r="AK823" s="12"/>
      <c r="AL823" s="6"/>
      <c r="AM823" s="6"/>
      <c r="AN823" s="6"/>
      <c r="AO823" s="6"/>
      <c r="AP823" s="6"/>
      <c r="AQ823" s="6"/>
      <c r="AR823" s="6"/>
      <c r="AS823" s="6"/>
    </row>
    <row r="824" spans="1:45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12"/>
      <c r="AK824" s="12"/>
      <c r="AL824" s="6"/>
      <c r="AM824" s="6"/>
      <c r="AN824" s="6"/>
      <c r="AO824" s="6"/>
      <c r="AP824" s="6"/>
      <c r="AQ824" s="6"/>
      <c r="AR824" s="6"/>
      <c r="AS824" s="6"/>
    </row>
    <row r="825" spans="1:4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12"/>
      <c r="AK825" s="12"/>
      <c r="AL825" s="6"/>
      <c r="AM825" s="6"/>
      <c r="AN825" s="6"/>
      <c r="AO825" s="6"/>
      <c r="AP825" s="6"/>
      <c r="AQ825" s="6"/>
      <c r="AR825" s="6"/>
      <c r="AS825" s="6"/>
    </row>
    <row r="826" spans="1:45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12"/>
      <c r="AK826" s="12"/>
      <c r="AL826" s="6"/>
      <c r="AM826" s="6"/>
      <c r="AN826" s="6"/>
      <c r="AO826" s="6"/>
      <c r="AP826" s="6"/>
      <c r="AQ826" s="6"/>
      <c r="AR826" s="6"/>
      <c r="AS826" s="6"/>
    </row>
    <row r="827" spans="1:45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12"/>
      <c r="AK827" s="12"/>
      <c r="AL827" s="6"/>
      <c r="AM827" s="6"/>
      <c r="AN827" s="6"/>
      <c r="AO827" s="6"/>
      <c r="AP827" s="6"/>
      <c r="AQ827" s="6"/>
      <c r="AR827" s="6"/>
      <c r="AS827" s="6"/>
    </row>
    <row r="828" spans="1:45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12"/>
      <c r="AK828" s="12"/>
      <c r="AL828" s="6"/>
      <c r="AM828" s="6"/>
      <c r="AN828" s="6"/>
      <c r="AO828" s="6"/>
      <c r="AP828" s="6"/>
      <c r="AQ828" s="6"/>
      <c r="AR828" s="6"/>
      <c r="AS828" s="6"/>
    </row>
    <row r="829" spans="1:45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12"/>
      <c r="AK829" s="12"/>
      <c r="AL829" s="6"/>
      <c r="AM829" s="6"/>
      <c r="AN829" s="6"/>
      <c r="AO829" s="6"/>
      <c r="AP829" s="6"/>
      <c r="AQ829" s="6"/>
      <c r="AR829" s="6"/>
      <c r="AS829" s="6"/>
    </row>
    <row r="830" spans="1:45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12"/>
      <c r="AK830" s="12"/>
      <c r="AL830" s="6"/>
      <c r="AM830" s="6"/>
      <c r="AN830" s="6"/>
      <c r="AO830" s="6"/>
      <c r="AP830" s="6"/>
      <c r="AQ830" s="6"/>
      <c r="AR830" s="6"/>
      <c r="AS830" s="6"/>
    </row>
    <row r="831" spans="1:45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12"/>
      <c r="AK831" s="12"/>
      <c r="AL831" s="6"/>
      <c r="AM831" s="6"/>
      <c r="AN831" s="6"/>
      <c r="AO831" s="6"/>
      <c r="AP831" s="6"/>
      <c r="AQ831" s="6"/>
      <c r="AR831" s="6"/>
      <c r="AS831" s="6"/>
    </row>
    <row r="832" spans="1:45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12"/>
      <c r="AK832" s="12"/>
      <c r="AL832" s="6"/>
      <c r="AM832" s="6"/>
      <c r="AN832" s="6"/>
      <c r="AO832" s="6"/>
      <c r="AP832" s="6"/>
      <c r="AQ832" s="6"/>
      <c r="AR832" s="6"/>
      <c r="AS832" s="6"/>
    </row>
    <row r="833" spans="1:45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12"/>
      <c r="AK833" s="12"/>
      <c r="AL833" s="6"/>
      <c r="AM833" s="6"/>
      <c r="AN833" s="6"/>
      <c r="AO833" s="6"/>
      <c r="AP833" s="6"/>
      <c r="AQ833" s="6"/>
      <c r="AR833" s="6"/>
      <c r="AS833" s="6"/>
    </row>
    <row r="834" spans="1:45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12"/>
      <c r="AK834" s="12"/>
      <c r="AL834" s="6"/>
      <c r="AM834" s="6"/>
      <c r="AN834" s="6"/>
      <c r="AO834" s="6"/>
      <c r="AP834" s="6"/>
      <c r="AQ834" s="6"/>
      <c r="AR834" s="6"/>
      <c r="AS834" s="6"/>
    </row>
    <row r="835" spans="1:4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12"/>
      <c r="AK835" s="12"/>
      <c r="AL835" s="6"/>
      <c r="AM835" s="6"/>
      <c r="AN835" s="6"/>
      <c r="AO835" s="6"/>
      <c r="AP835" s="6"/>
      <c r="AQ835" s="6"/>
      <c r="AR835" s="6"/>
      <c r="AS835" s="6"/>
    </row>
    <row r="836" spans="1:45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12"/>
      <c r="AK836" s="12"/>
      <c r="AL836" s="6"/>
      <c r="AM836" s="6"/>
      <c r="AN836" s="6"/>
      <c r="AO836" s="6"/>
      <c r="AP836" s="6"/>
      <c r="AQ836" s="6"/>
      <c r="AR836" s="6"/>
      <c r="AS836" s="6"/>
    </row>
    <row r="837" spans="1:45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12"/>
      <c r="AK837" s="12"/>
      <c r="AL837" s="6"/>
      <c r="AM837" s="6"/>
      <c r="AN837" s="6"/>
      <c r="AO837" s="6"/>
      <c r="AP837" s="6"/>
      <c r="AQ837" s="6"/>
      <c r="AR837" s="6"/>
      <c r="AS837" s="6"/>
    </row>
    <row r="838" spans="1:45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12"/>
      <c r="AK838" s="12"/>
      <c r="AL838" s="6"/>
      <c r="AM838" s="6"/>
      <c r="AN838" s="6"/>
      <c r="AO838" s="6"/>
      <c r="AP838" s="6"/>
      <c r="AQ838" s="6"/>
      <c r="AR838" s="6"/>
      <c r="AS838" s="6"/>
    </row>
    <row r="839" spans="1:45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12"/>
      <c r="AK839" s="12"/>
      <c r="AL839" s="6"/>
      <c r="AM839" s="6"/>
      <c r="AN839" s="6"/>
      <c r="AO839" s="6"/>
      <c r="AP839" s="6"/>
      <c r="AQ839" s="6"/>
      <c r="AR839" s="6"/>
      <c r="AS839" s="6"/>
    </row>
    <row r="840" spans="1:45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12"/>
      <c r="AK840" s="12"/>
      <c r="AL840" s="6"/>
      <c r="AM840" s="6"/>
      <c r="AN840" s="6"/>
      <c r="AO840" s="6"/>
      <c r="AP840" s="6"/>
      <c r="AQ840" s="6"/>
      <c r="AR840" s="6"/>
      <c r="AS840" s="6"/>
    </row>
    <row r="841" spans="1:45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12"/>
      <c r="AK841" s="12"/>
      <c r="AL841" s="6"/>
      <c r="AM841" s="6"/>
      <c r="AN841" s="6"/>
      <c r="AO841" s="6"/>
      <c r="AP841" s="6"/>
      <c r="AQ841" s="6"/>
      <c r="AR841" s="6"/>
      <c r="AS841" s="6"/>
    </row>
    <row r="842" spans="1:45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12"/>
      <c r="AK842" s="12"/>
      <c r="AL842" s="6"/>
      <c r="AM842" s="6"/>
      <c r="AN842" s="6"/>
      <c r="AO842" s="6"/>
      <c r="AP842" s="6"/>
      <c r="AQ842" s="6"/>
      <c r="AR842" s="6"/>
      <c r="AS842" s="6"/>
    </row>
    <row r="843" spans="1:45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12"/>
      <c r="AK843" s="12"/>
      <c r="AL843" s="6"/>
      <c r="AM843" s="6"/>
      <c r="AN843" s="6"/>
      <c r="AO843" s="6"/>
      <c r="AP843" s="6"/>
      <c r="AQ843" s="6"/>
      <c r="AR843" s="6"/>
      <c r="AS843" s="6"/>
    </row>
    <row r="844" spans="1:45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12"/>
      <c r="AK844" s="12"/>
      <c r="AL844" s="6"/>
      <c r="AM844" s="6"/>
      <c r="AN844" s="6"/>
      <c r="AO844" s="6"/>
      <c r="AP844" s="6"/>
      <c r="AQ844" s="6"/>
      <c r="AR844" s="6"/>
      <c r="AS844" s="6"/>
    </row>
    <row r="845" spans="1: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12"/>
      <c r="AK845" s="12"/>
      <c r="AL845" s="6"/>
      <c r="AM845" s="6"/>
      <c r="AN845" s="6"/>
      <c r="AO845" s="6"/>
      <c r="AP845" s="6"/>
      <c r="AQ845" s="6"/>
      <c r="AR845" s="6"/>
      <c r="AS845" s="6"/>
    </row>
    <row r="846" spans="1:45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12"/>
      <c r="AK846" s="12"/>
      <c r="AL846" s="6"/>
      <c r="AM846" s="6"/>
      <c r="AN846" s="6"/>
      <c r="AO846" s="6"/>
      <c r="AP846" s="6"/>
      <c r="AQ846" s="6"/>
      <c r="AR846" s="6"/>
      <c r="AS846" s="6"/>
    </row>
    <row r="847" spans="1:45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12"/>
      <c r="AK847" s="12"/>
      <c r="AL847" s="6"/>
      <c r="AM847" s="6"/>
      <c r="AN847" s="6"/>
      <c r="AO847" s="6"/>
      <c r="AP847" s="6"/>
      <c r="AQ847" s="6"/>
      <c r="AR847" s="6"/>
      <c r="AS847" s="6"/>
    </row>
    <row r="848" spans="1:45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12"/>
      <c r="AK848" s="12"/>
      <c r="AL848" s="6"/>
      <c r="AM848" s="6"/>
      <c r="AN848" s="6"/>
      <c r="AO848" s="6"/>
      <c r="AP848" s="6"/>
      <c r="AQ848" s="6"/>
      <c r="AR848" s="6"/>
      <c r="AS848" s="6"/>
    </row>
    <row r="849" spans="1:45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12"/>
      <c r="AK849" s="12"/>
      <c r="AL849" s="6"/>
      <c r="AM849" s="6"/>
      <c r="AN849" s="6"/>
      <c r="AO849" s="6"/>
      <c r="AP849" s="6"/>
      <c r="AQ849" s="6"/>
      <c r="AR849" s="6"/>
      <c r="AS849" s="6"/>
    </row>
    <row r="850" spans="1:45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12"/>
      <c r="AK850" s="12"/>
      <c r="AL850" s="6"/>
      <c r="AM850" s="6"/>
      <c r="AN850" s="6"/>
      <c r="AO850" s="6"/>
      <c r="AP850" s="6"/>
      <c r="AQ850" s="6"/>
      <c r="AR850" s="6"/>
      <c r="AS850" s="6"/>
    </row>
    <row r="851" spans="1:45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12"/>
      <c r="AK851" s="12"/>
      <c r="AL851" s="6"/>
      <c r="AM851" s="6"/>
      <c r="AN851" s="6"/>
      <c r="AO851" s="6"/>
      <c r="AP851" s="6"/>
      <c r="AQ851" s="6"/>
      <c r="AR851" s="6"/>
      <c r="AS851" s="6"/>
    </row>
    <row r="852" spans="1:45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12"/>
      <c r="AK852" s="12"/>
      <c r="AL852" s="6"/>
      <c r="AM852" s="6"/>
      <c r="AN852" s="6"/>
      <c r="AO852" s="6"/>
      <c r="AP852" s="6"/>
      <c r="AQ852" s="6"/>
      <c r="AR852" s="6"/>
      <c r="AS852" s="6"/>
    </row>
    <row r="853" spans="1:45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12"/>
      <c r="AK853" s="12"/>
      <c r="AL853" s="6"/>
      <c r="AM853" s="6"/>
      <c r="AN853" s="6"/>
      <c r="AO853" s="6"/>
      <c r="AP853" s="6"/>
      <c r="AQ853" s="6"/>
      <c r="AR853" s="6"/>
      <c r="AS853" s="6"/>
    </row>
    <row r="854" spans="1:45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12"/>
      <c r="AK854" s="12"/>
      <c r="AL854" s="6"/>
      <c r="AM854" s="6"/>
      <c r="AN854" s="6"/>
      <c r="AO854" s="6"/>
      <c r="AP854" s="6"/>
      <c r="AQ854" s="6"/>
      <c r="AR854" s="6"/>
      <c r="AS854" s="6"/>
    </row>
    <row r="855" spans="1:4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12"/>
      <c r="AK855" s="12"/>
      <c r="AL855" s="6"/>
      <c r="AM855" s="6"/>
      <c r="AN855" s="6"/>
      <c r="AO855" s="6"/>
      <c r="AP855" s="6"/>
      <c r="AQ855" s="6"/>
      <c r="AR855" s="6"/>
      <c r="AS855" s="6"/>
    </row>
    <row r="856" spans="1:45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12"/>
      <c r="AK856" s="12"/>
      <c r="AL856" s="6"/>
      <c r="AM856" s="6"/>
      <c r="AN856" s="6"/>
      <c r="AO856" s="6"/>
      <c r="AP856" s="6"/>
      <c r="AQ856" s="6"/>
      <c r="AR856" s="6"/>
      <c r="AS856" s="6"/>
    </row>
    <row r="857" spans="1:45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12"/>
      <c r="AK857" s="12"/>
      <c r="AL857" s="6"/>
      <c r="AM857" s="6"/>
      <c r="AN857" s="6"/>
      <c r="AO857" s="6"/>
      <c r="AP857" s="6"/>
      <c r="AQ857" s="6"/>
      <c r="AR857" s="6"/>
      <c r="AS857" s="6"/>
    </row>
    <row r="858" spans="1:45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12"/>
      <c r="AK858" s="12"/>
      <c r="AL858" s="6"/>
      <c r="AM858" s="6"/>
      <c r="AN858" s="6"/>
      <c r="AO858" s="6"/>
      <c r="AP858" s="6"/>
      <c r="AQ858" s="6"/>
      <c r="AR858" s="6"/>
      <c r="AS858" s="6"/>
    </row>
    <row r="859" spans="1:45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12"/>
      <c r="AK859" s="12"/>
      <c r="AL859" s="6"/>
      <c r="AM859" s="6"/>
      <c r="AN859" s="6"/>
      <c r="AO859" s="6"/>
      <c r="AP859" s="6"/>
      <c r="AQ859" s="6"/>
      <c r="AR859" s="6"/>
      <c r="AS859" s="6"/>
    </row>
    <row r="860" spans="1:45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12"/>
      <c r="AK860" s="12"/>
      <c r="AL860" s="6"/>
      <c r="AM860" s="6"/>
      <c r="AN860" s="6"/>
      <c r="AO860" s="6"/>
      <c r="AP860" s="6"/>
      <c r="AQ860" s="6"/>
      <c r="AR860" s="6"/>
      <c r="AS860" s="6"/>
    </row>
    <row r="861" spans="1:45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12"/>
      <c r="AK861" s="12"/>
      <c r="AL861" s="6"/>
      <c r="AM861" s="6"/>
      <c r="AN861" s="6"/>
      <c r="AO861" s="6"/>
      <c r="AP861" s="6"/>
      <c r="AQ861" s="6"/>
      <c r="AR861" s="6"/>
      <c r="AS861" s="6"/>
    </row>
    <row r="862" spans="1:45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12"/>
      <c r="AK862" s="12"/>
      <c r="AL862" s="6"/>
      <c r="AM862" s="6"/>
      <c r="AN862" s="6"/>
      <c r="AO862" s="6"/>
      <c r="AP862" s="6"/>
      <c r="AQ862" s="6"/>
      <c r="AR862" s="6"/>
      <c r="AS862" s="6"/>
    </row>
    <row r="863" spans="1:45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12"/>
      <c r="AK863" s="12"/>
      <c r="AL863" s="6"/>
      <c r="AM863" s="6"/>
      <c r="AN863" s="6"/>
      <c r="AO863" s="6"/>
      <c r="AP863" s="6"/>
      <c r="AQ863" s="6"/>
      <c r="AR863" s="6"/>
      <c r="AS863" s="6"/>
    </row>
    <row r="864" spans="1:45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12"/>
      <c r="AK864" s="12"/>
      <c r="AL864" s="6"/>
      <c r="AM864" s="6"/>
      <c r="AN864" s="6"/>
      <c r="AO864" s="6"/>
      <c r="AP864" s="6"/>
      <c r="AQ864" s="6"/>
      <c r="AR864" s="6"/>
      <c r="AS864" s="6"/>
    </row>
    <row r="865" spans="1:4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12"/>
      <c r="AK865" s="12"/>
      <c r="AL865" s="6"/>
      <c r="AM865" s="6"/>
      <c r="AN865" s="6"/>
      <c r="AO865" s="6"/>
      <c r="AP865" s="6"/>
      <c r="AQ865" s="6"/>
      <c r="AR865" s="6"/>
      <c r="AS865" s="6"/>
    </row>
    <row r="866" spans="1:45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12"/>
      <c r="AK866" s="12"/>
      <c r="AL866" s="6"/>
      <c r="AM866" s="6"/>
      <c r="AN866" s="6"/>
      <c r="AO866" s="6"/>
      <c r="AP866" s="6"/>
      <c r="AQ866" s="6"/>
      <c r="AR866" s="6"/>
      <c r="AS866" s="6"/>
    </row>
    <row r="867" spans="1:45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12"/>
      <c r="AK867" s="12"/>
      <c r="AL867" s="6"/>
      <c r="AM867" s="6"/>
      <c r="AN867" s="6"/>
      <c r="AO867" s="6"/>
      <c r="AP867" s="6"/>
      <c r="AQ867" s="6"/>
      <c r="AR867" s="6"/>
      <c r="AS867" s="6"/>
    </row>
    <row r="868" spans="1:45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12"/>
      <c r="AK868" s="12"/>
      <c r="AL868" s="6"/>
      <c r="AM868" s="6"/>
      <c r="AN868" s="6"/>
      <c r="AO868" s="6"/>
      <c r="AP868" s="6"/>
      <c r="AQ868" s="6"/>
      <c r="AR868" s="6"/>
      <c r="AS868" s="6"/>
    </row>
    <row r="869" spans="1:45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12"/>
      <c r="AK869" s="12"/>
      <c r="AL869" s="6"/>
      <c r="AM869" s="6"/>
      <c r="AN869" s="6"/>
      <c r="AO869" s="6"/>
      <c r="AP869" s="6"/>
      <c r="AQ869" s="6"/>
      <c r="AR869" s="6"/>
      <c r="AS869" s="6"/>
    </row>
    <row r="870" spans="1:45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12"/>
      <c r="AK870" s="12"/>
      <c r="AL870" s="6"/>
      <c r="AM870" s="6"/>
      <c r="AN870" s="6"/>
      <c r="AO870" s="6"/>
      <c r="AP870" s="6"/>
      <c r="AQ870" s="6"/>
      <c r="AR870" s="6"/>
      <c r="AS870" s="6"/>
    </row>
    <row r="871" spans="1:45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12"/>
      <c r="AK871" s="12"/>
      <c r="AL871" s="6"/>
      <c r="AM871" s="6"/>
      <c r="AN871" s="6"/>
      <c r="AO871" s="6"/>
      <c r="AP871" s="6"/>
      <c r="AQ871" s="6"/>
      <c r="AR871" s="6"/>
      <c r="AS871" s="6"/>
    </row>
    <row r="872" spans="1:45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12"/>
      <c r="AK872" s="12"/>
      <c r="AL872" s="6"/>
      <c r="AM872" s="6"/>
      <c r="AN872" s="6"/>
      <c r="AO872" s="6"/>
      <c r="AP872" s="6"/>
      <c r="AQ872" s="6"/>
      <c r="AR872" s="6"/>
      <c r="AS872" s="6"/>
    </row>
    <row r="873" spans="1:45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12"/>
      <c r="AK873" s="12"/>
      <c r="AL873" s="6"/>
      <c r="AM873" s="6"/>
      <c r="AN873" s="6"/>
      <c r="AO873" s="6"/>
      <c r="AP873" s="6"/>
      <c r="AQ873" s="6"/>
      <c r="AR873" s="6"/>
      <c r="AS873" s="6"/>
    </row>
    <row r="874" spans="1:45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12"/>
      <c r="AK874" s="12"/>
      <c r="AL874" s="6"/>
      <c r="AM874" s="6"/>
      <c r="AN874" s="6"/>
      <c r="AO874" s="6"/>
      <c r="AP874" s="6"/>
      <c r="AQ874" s="6"/>
      <c r="AR874" s="6"/>
      <c r="AS874" s="6"/>
    </row>
    <row r="875" spans="1:4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12"/>
      <c r="AK875" s="12"/>
      <c r="AL875" s="6"/>
      <c r="AM875" s="6"/>
      <c r="AN875" s="6"/>
      <c r="AO875" s="6"/>
      <c r="AP875" s="6"/>
      <c r="AQ875" s="6"/>
      <c r="AR875" s="6"/>
      <c r="AS875" s="6"/>
    </row>
    <row r="876" spans="1:45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12"/>
      <c r="AK876" s="12"/>
      <c r="AL876" s="6"/>
      <c r="AM876" s="6"/>
      <c r="AN876" s="6"/>
      <c r="AO876" s="6"/>
      <c r="AP876" s="6"/>
      <c r="AQ876" s="6"/>
      <c r="AR876" s="6"/>
      <c r="AS876" s="6"/>
    </row>
    <row r="877" spans="1:45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12"/>
      <c r="AK877" s="12"/>
      <c r="AL877" s="6"/>
      <c r="AM877" s="6"/>
      <c r="AN877" s="6"/>
      <c r="AO877" s="6"/>
      <c r="AP877" s="6"/>
      <c r="AQ877" s="6"/>
      <c r="AR877" s="6"/>
      <c r="AS877" s="6"/>
    </row>
    <row r="878" spans="1:45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12"/>
      <c r="AK878" s="12"/>
      <c r="AL878" s="6"/>
      <c r="AM878" s="6"/>
      <c r="AN878" s="6"/>
      <c r="AO878" s="6"/>
      <c r="AP878" s="6"/>
      <c r="AQ878" s="6"/>
      <c r="AR878" s="6"/>
      <c r="AS878" s="6"/>
    </row>
    <row r="879" spans="1:45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12"/>
      <c r="AK879" s="12"/>
      <c r="AL879" s="6"/>
      <c r="AM879" s="6"/>
      <c r="AN879" s="6"/>
      <c r="AO879" s="6"/>
      <c r="AP879" s="6"/>
      <c r="AQ879" s="6"/>
      <c r="AR879" s="6"/>
      <c r="AS879" s="6"/>
    </row>
    <row r="880" spans="1:45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12"/>
      <c r="AK880" s="12"/>
      <c r="AL880" s="6"/>
      <c r="AM880" s="6"/>
      <c r="AN880" s="6"/>
      <c r="AO880" s="6"/>
      <c r="AP880" s="6"/>
      <c r="AQ880" s="6"/>
      <c r="AR880" s="6"/>
      <c r="AS880" s="6"/>
    </row>
    <row r="881" spans="1:45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12"/>
      <c r="AK881" s="12"/>
      <c r="AL881" s="6"/>
      <c r="AM881" s="6"/>
      <c r="AN881" s="6"/>
      <c r="AO881" s="6"/>
      <c r="AP881" s="6"/>
      <c r="AQ881" s="6"/>
      <c r="AR881" s="6"/>
      <c r="AS881" s="6"/>
    </row>
    <row r="882" spans="1:45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12"/>
      <c r="AK882" s="12"/>
      <c r="AL882" s="6"/>
      <c r="AM882" s="6"/>
      <c r="AN882" s="6"/>
      <c r="AO882" s="6"/>
      <c r="AP882" s="6"/>
      <c r="AQ882" s="6"/>
      <c r="AR882" s="6"/>
      <c r="AS882" s="6"/>
    </row>
    <row r="883" spans="1:45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12"/>
      <c r="AK883" s="12"/>
      <c r="AL883" s="6"/>
      <c r="AM883" s="6"/>
      <c r="AN883" s="6"/>
      <c r="AO883" s="6"/>
      <c r="AP883" s="6"/>
      <c r="AQ883" s="6"/>
      <c r="AR883" s="6"/>
      <c r="AS883" s="6"/>
    </row>
    <row r="884" spans="1:45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12"/>
      <c r="AK884" s="12"/>
      <c r="AL884" s="6"/>
      <c r="AM884" s="6"/>
      <c r="AN884" s="6"/>
      <c r="AO884" s="6"/>
      <c r="AP884" s="6"/>
      <c r="AQ884" s="6"/>
      <c r="AR884" s="6"/>
      <c r="AS884" s="6"/>
    </row>
    <row r="885" spans="1:4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12"/>
      <c r="AK885" s="12"/>
      <c r="AL885" s="6"/>
      <c r="AM885" s="6"/>
      <c r="AN885" s="6"/>
      <c r="AO885" s="6"/>
      <c r="AP885" s="6"/>
      <c r="AQ885" s="6"/>
      <c r="AR885" s="6"/>
      <c r="AS885" s="6"/>
    </row>
    <row r="886" spans="1:45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12"/>
      <c r="AK886" s="12"/>
      <c r="AL886" s="6"/>
      <c r="AM886" s="6"/>
      <c r="AN886" s="6"/>
      <c r="AO886" s="6"/>
      <c r="AP886" s="6"/>
      <c r="AQ886" s="6"/>
      <c r="AR886" s="6"/>
      <c r="AS886" s="6"/>
    </row>
    <row r="887" spans="1:45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12"/>
      <c r="AK887" s="12"/>
      <c r="AL887" s="6"/>
      <c r="AM887" s="6"/>
      <c r="AN887" s="6"/>
      <c r="AO887" s="6"/>
      <c r="AP887" s="6"/>
      <c r="AQ887" s="6"/>
      <c r="AR887" s="6"/>
      <c r="AS887" s="6"/>
    </row>
    <row r="888" spans="1:45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12"/>
      <c r="AK888" s="12"/>
      <c r="AL888" s="6"/>
      <c r="AM888" s="6"/>
      <c r="AN888" s="6"/>
      <c r="AO888" s="6"/>
      <c r="AP888" s="6"/>
      <c r="AQ888" s="6"/>
      <c r="AR888" s="6"/>
      <c r="AS888" s="6"/>
    </row>
    <row r="889" spans="1:45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12"/>
      <c r="AK889" s="12"/>
      <c r="AL889" s="6"/>
      <c r="AM889" s="6"/>
      <c r="AN889" s="6"/>
      <c r="AO889" s="6"/>
      <c r="AP889" s="6"/>
      <c r="AQ889" s="6"/>
      <c r="AR889" s="6"/>
      <c r="AS889" s="6"/>
    </row>
    <row r="890" spans="1:45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12"/>
      <c r="AK890" s="12"/>
      <c r="AL890" s="6"/>
      <c r="AM890" s="6"/>
      <c r="AN890" s="6"/>
      <c r="AO890" s="6"/>
      <c r="AP890" s="6"/>
      <c r="AQ890" s="6"/>
      <c r="AR890" s="6"/>
      <c r="AS890" s="6"/>
    </row>
    <row r="891" spans="1:45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12"/>
      <c r="AK891" s="12"/>
      <c r="AL891" s="6"/>
      <c r="AM891" s="6"/>
      <c r="AN891" s="6"/>
      <c r="AO891" s="6"/>
      <c r="AP891" s="6"/>
      <c r="AQ891" s="6"/>
      <c r="AR891" s="6"/>
      <c r="AS891" s="6"/>
    </row>
    <row r="892" spans="1:45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12"/>
      <c r="AK892" s="12"/>
      <c r="AL892" s="6"/>
      <c r="AM892" s="6"/>
      <c r="AN892" s="6"/>
      <c r="AO892" s="6"/>
      <c r="AP892" s="6"/>
      <c r="AQ892" s="6"/>
      <c r="AR892" s="6"/>
      <c r="AS892" s="6"/>
    </row>
    <row r="893" spans="1:45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12"/>
      <c r="AK893" s="12"/>
      <c r="AL893" s="6"/>
      <c r="AM893" s="6"/>
      <c r="AN893" s="6"/>
      <c r="AO893" s="6"/>
      <c r="AP893" s="6"/>
      <c r="AQ893" s="6"/>
      <c r="AR893" s="6"/>
      <c r="AS893" s="6"/>
    </row>
    <row r="894" spans="1:45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12"/>
      <c r="AK894" s="12"/>
      <c r="AL894" s="6"/>
      <c r="AM894" s="6"/>
      <c r="AN894" s="6"/>
      <c r="AO894" s="6"/>
      <c r="AP894" s="6"/>
      <c r="AQ894" s="6"/>
      <c r="AR894" s="6"/>
      <c r="AS894" s="6"/>
    </row>
    <row r="895" spans="1:4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12"/>
      <c r="AK895" s="12"/>
      <c r="AL895" s="6"/>
      <c r="AM895" s="6"/>
      <c r="AN895" s="6"/>
      <c r="AO895" s="6"/>
      <c r="AP895" s="6"/>
      <c r="AQ895" s="6"/>
      <c r="AR895" s="6"/>
      <c r="AS895" s="6"/>
    </row>
    <row r="896" spans="1:45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12"/>
      <c r="AK896" s="12"/>
      <c r="AL896" s="6"/>
      <c r="AM896" s="6"/>
      <c r="AN896" s="6"/>
      <c r="AO896" s="6"/>
      <c r="AP896" s="6"/>
      <c r="AQ896" s="6"/>
      <c r="AR896" s="6"/>
      <c r="AS896" s="6"/>
    </row>
    <row r="897" spans="1:45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12"/>
      <c r="AK897" s="12"/>
      <c r="AL897" s="6"/>
      <c r="AM897" s="6"/>
      <c r="AN897" s="6"/>
      <c r="AO897" s="6"/>
      <c r="AP897" s="6"/>
      <c r="AQ897" s="6"/>
      <c r="AR897" s="6"/>
      <c r="AS897" s="6"/>
    </row>
    <row r="898" spans="1:45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12"/>
      <c r="AK898" s="12"/>
      <c r="AL898" s="6"/>
      <c r="AM898" s="6"/>
      <c r="AN898" s="6"/>
      <c r="AO898" s="6"/>
      <c r="AP898" s="6"/>
      <c r="AQ898" s="6"/>
      <c r="AR898" s="6"/>
      <c r="AS898" s="6"/>
    </row>
    <row r="899" spans="1:45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12"/>
      <c r="AK899" s="12"/>
      <c r="AL899" s="6"/>
      <c r="AM899" s="6"/>
      <c r="AN899" s="6"/>
      <c r="AO899" s="6"/>
      <c r="AP899" s="6"/>
      <c r="AQ899" s="6"/>
      <c r="AR899" s="6"/>
      <c r="AS899" s="6"/>
    </row>
    <row r="900" spans="1:45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12"/>
      <c r="AK900" s="12"/>
      <c r="AL900" s="6"/>
      <c r="AM900" s="6"/>
      <c r="AN900" s="6"/>
      <c r="AO900" s="6"/>
      <c r="AP900" s="6"/>
      <c r="AQ900" s="6"/>
      <c r="AR900" s="6"/>
      <c r="AS900" s="6"/>
    </row>
    <row r="901" spans="1:45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12"/>
      <c r="AK901" s="12"/>
      <c r="AL901" s="6"/>
      <c r="AM901" s="6"/>
      <c r="AN901" s="6"/>
      <c r="AO901" s="6"/>
      <c r="AP901" s="6"/>
      <c r="AQ901" s="6"/>
      <c r="AR901" s="6"/>
      <c r="AS901" s="6"/>
    </row>
    <row r="902" spans="1:45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12"/>
      <c r="AK902" s="12"/>
      <c r="AL902" s="6"/>
      <c r="AM902" s="6"/>
      <c r="AN902" s="6"/>
      <c r="AO902" s="6"/>
      <c r="AP902" s="6"/>
      <c r="AQ902" s="6"/>
      <c r="AR902" s="6"/>
      <c r="AS902" s="6"/>
    </row>
    <row r="903" spans="1:45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12"/>
      <c r="AK903" s="12"/>
      <c r="AL903" s="6"/>
      <c r="AM903" s="6"/>
      <c r="AN903" s="6"/>
      <c r="AO903" s="6"/>
      <c r="AP903" s="6"/>
      <c r="AQ903" s="6"/>
      <c r="AR903" s="6"/>
      <c r="AS903" s="6"/>
    </row>
    <row r="904" spans="1:45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12"/>
      <c r="AK904" s="12"/>
      <c r="AL904" s="6"/>
      <c r="AM904" s="6"/>
      <c r="AN904" s="6"/>
      <c r="AO904" s="6"/>
      <c r="AP904" s="6"/>
      <c r="AQ904" s="6"/>
      <c r="AR904" s="6"/>
      <c r="AS904" s="6"/>
    </row>
    <row r="905" spans="1:4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12"/>
      <c r="AK905" s="12"/>
      <c r="AL905" s="6"/>
      <c r="AM905" s="6"/>
      <c r="AN905" s="6"/>
      <c r="AO905" s="6"/>
      <c r="AP905" s="6"/>
      <c r="AQ905" s="6"/>
      <c r="AR905" s="6"/>
      <c r="AS905" s="6"/>
    </row>
    <row r="906" spans="1:45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12"/>
      <c r="AK906" s="12"/>
      <c r="AL906" s="6"/>
      <c r="AM906" s="6"/>
      <c r="AN906" s="6"/>
      <c r="AO906" s="6"/>
      <c r="AP906" s="6"/>
      <c r="AQ906" s="6"/>
      <c r="AR906" s="6"/>
      <c r="AS906" s="6"/>
    </row>
    <row r="907" spans="1:45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12"/>
      <c r="AK907" s="12"/>
      <c r="AL907" s="6"/>
      <c r="AM907" s="6"/>
      <c r="AN907" s="6"/>
      <c r="AO907" s="6"/>
      <c r="AP907" s="6"/>
      <c r="AQ907" s="6"/>
      <c r="AR907" s="6"/>
      <c r="AS907" s="6"/>
    </row>
    <row r="908" spans="1:45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12"/>
      <c r="AK908" s="12"/>
      <c r="AL908" s="6"/>
      <c r="AM908" s="6"/>
      <c r="AN908" s="6"/>
      <c r="AO908" s="6"/>
      <c r="AP908" s="6"/>
      <c r="AQ908" s="6"/>
      <c r="AR908" s="6"/>
      <c r="AS908" s="6"/>
    </row>
    <row r="909" spans="1:45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12"/>
      <c r="AK909" s="12"/>
      <c r="AL909" s="6"/>
      <c r="AM909" s="6"/>
      <c r="AN909" s="6"/>
      <c r="AO909" s="6"/>
      <c r="AP909" s="6"/>
      <c r="AQ909" s="6"/>
      <c r="AR909" s="6"/>
      <c r="AS909" s="6"/>
    </row>
    <row r="910" spans="1:45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12"/>
      <c r="AK910" s="12"/>
      <c r="AL910" s="6"/>
      <c r="AM910" s="6"/>
      <c r="AN910" s="6"/>
      <c r="AO910" s="6"/>
      <c r="AP910" s="6"/>
      <c r="AQ910" s="6"/>
      <c r="AR910" s="6"/>
      <c r="AS910" s="6"/>
    </row>
    <row r="911" spans="1:45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12"/>
      <c r="AK911" s="12"/>
      <c r="AL911" s="6"/>
      <c r="AM911" s="6"/>
      <c r="AN911" s="6"/>
      <c r="AO911" s="6"/>
      <c r="AP911" s="6"/>
      <c r="AQ911" s="6"/>
      <c r="AR911" s="6"/>
      <c r="AS911" s="6"/>
    </row>
    <row r="912" spans="1:45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12"/>
      <c r="AK912" s="12"/>
      <c r="AL912" s="6"/>
      <c r="AM912" s="6"/>
      <c r="AN912" s="6"/>
      <c r="AO912" s="6"/>
      <c r="AP912" s="6"/>
      <c r="AQ912" s="6"/>
      <c r="AR912" s="6"/>
      <c r="AS912" s="6"/>
    </row>
    <row r="913" spans="1:45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12"/>
      <c r="AK913" s="12"/>
      <c r="AL913" s="6"/>
      <c r="AM913" s="6"/>
      <c r="AN913" s="6"/>
      <c r="AO913" s="6"/>
      <c r="AP913" s="6"/>
      <c r="AQ913" s="6"/>
      <c r="AR913" s="6"/>
      <c r="AS913" s="6"/>
    </row>
    <row r="914" spans="1:45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12"/>
      <c r="AK914" s="12"/>
      <c r="AL914" s="6"/>
      <c r="AM914" s="6"/>
      <c r="AN914" s="6"/>
      <c r="AO914" s="6"/>
      <c r="AP914" s="6"/>
      <c r="AQ914" s="6"/>
      <c r="AR914" s="6"/>
      <c r="AS914" s="6"/>
    </row>
    <row r="915" spans="1:4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12"/>
      <c r="AK915" s="12"/>
      <c r="AL915" s="6"/>
      <c r="AM915" s="6"/>
      <c r="AN915" s="6"/>
      <c r="AO915" s="6"/>
      <c r="AP915" s="6"/>
      <c r="AQ915" s="6"/>
      <c r="AR915" s="6"/>
      <c r="AS915" s="6"/>
    </row>
    <row r="916" spans="1:45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12"/>
      <c r="AK916" s="12"/>
      <c r="AL916" s="6"/>
      <c r="AM916" s="6"/>
      <c r="AN916" s="6"/>
      <c r="AO916" s="6"/>
      <c r="AP916" s="6"/>
      <c r="AQ916" s="6"/>
      <c r="AR916" s="6"/>
      <c r="AS916" s="6"/>
    </row>
    <row r="917" spans="1:45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12"/>
      <c r="AK917" s="12"/>
      <c r="AL917" s="6"/>
      <c r="AM917" s="6"/>
      <c r="AN917" s="6"/>
      <c r="AO917" s="6"/>
      <c r="AP917" s="6"/>
      <c r="AQ917" s="6"/>
      <c r="AR917" s="6"/>
      <c r="AS917" s="6"/>
    </row>
    <row r="918" spans="1:45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12"/>
      <c r="AK918" s="12"/>
      <c r="AL918" s="6"/>
      <c r="AM918" s="6"/>
      <c r="AN918" s="6"/>
      <c r="AO918" s="6"/>
      <c r="AP918" s="6"/>
      <c r="AQ918" s="6"/>
      <c r="AR918" s="6"/>
      <c r="AS918" s="6"/>
    </row>
    <row r="919" spans="1:45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12"/>
      <c r="AK919" s="12"/>
      <c r="AL919" s="6"/>
      <c r="AM919" s="6"/>
      <c r="AN919" s="6"/>
      <c r="AO919" s="6"/>
      <c r="AP919" s="6"/>
      <c r="AQ919" s="6"/>
      <c r="AR919" s="6"/>
      <c r="AS919" s="6"/>
    </row>
    <row r="920" spans="1:45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12"/>
      <c r="AK920" s="12"/>
      <c r="AL920" s="6"/>
      <c r="AM920" s="6"/>
      <c r="AN920" s="6"/>
      <c r="AO920" s="6"/>
      <c r="AP920" s="6"/>
      <c r="AQ920" s="6"/>
      <c r="AR920" s="6"/>
      <c r="AS920" s="6"/>
    </row>
    <row r="921" spans="1:45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12"/>
      <c r="AK921" s="12"/>
      <c r="AL921" s="6"/>
      <c r="AM921" s="6"/>
      <c r="AN921" s="6"/>
      <c r="AO921" s="6"/>
      <c r="AP921" s="6"/>
      <c r="AQ921" s="6"/>
      <c r="AR921" s="6"/>
      <c r="AS921" s="6"/>
    </row>
    <row r="922" spans="1:45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12"/>
      <c r="AK922" s="12"/>
      <c r="AL922" s="6"/>
      <c r="AM922" s="6"/>
      <c r="AN922" s="6"/>
      <c r="AO922" s="6"/>
      <c r="AP922" s="6"/>
      <c r="AQ922" s="6"/>
      <c r="AR922" s="6"/>
      <c r="AS922" s="6"/>
    </row>
    <row r="923" spans="1:45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12"/>
      <c r="AK923" s="12"/>
      <c r="AL923" s="6"/>
      <c r="AM923" s="6"/>
      <c r="AN923" s="6"/>
      <c r="AO923" s="6"/>
      <c r="AP923" s="6"/>
      <c r="AQ923" s="6"/>
      <c r="AR923" s="6"/>
      <c r="AS923" s="6"/>
    </row>
    <row r="924" spans="1:45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12"/>
      <c r="AK924" s="12"/>
      <c r="AL924" s="6"/>
      <c r="AM924" s="6"/>
      <c r="AN924" s="6"/>
      <c r="AO924" s="6"/>
      <c r="AP924" s="6"/>
      <c r="AQ924" s="6"/>
      <c r="AR924" s="6"/>
      <c r="AS924" s="6"/>
    </row>
    <row r="925" spans="1:4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12"/>
      <c r="AK925" s="12"/>
      <c r="AL925" s="6"/>
      <c r="AM925" s="6"/>
      <c r="AN925" s="6"/>
      <c r="AO925" s="6"/>
      <c r="AP925" s="6"/>
      <c r="AQ925" s="6"/>
      <c r="AR925" s="6"/>
      <c r="AS925" s="6"/>
    </row>
    <row r="926" spans="1:45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12"/>
      <c r="AK926" s="12"/>
      <c r="AL926" s="6"/>
      <c r="AM926" s="6"/>
      <c r="AN926" s="6"/>
      <c r="AO926" s="6"/>
      <c r="AP926" s="6"/>
      <c r="AQ926" s="6"/>
      <c r="AR926" s="6"/>
      <c r="AS926" s="6"/>
    </row>
    <row r="927" spans="1:45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12"/>
      <c r="AK927" s="12"/>
      <c r="AL927" s="6"/>
      <c r="AM927" s="6"/>
      <c r="AN927" s="6"/>
      <c r="AO927" s="6"/>
      <c r="AP927" s="6"/>
      <c r="AQ927" s="6"/>
      <c r="AR927" s="6"/>
      <c r="AS927" s="6"/>
    </row>
    <row r="928" spans="1:45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12"/>
      <c r="AK928" s="12"/>
      <c r="AL928" s="6"/>
      <c r="AM928" s="6"/>
      <c r="AN928" s="6"/>
      <c r="AO928" s="6"/>
      <c r="AP928" s="6"/>
      <c r="AQ928" s="6"/>
      <c r="AR928" s="6"/>
      <c r="AS928" s="6"/>
    </row>
    <row r="929" spans="1:45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12"/>
      <c r="AK929" s="12"/>
      <c r="AL929" s="6"/>
      <c r="AM929" s="6"/>
      <c r="AN929" s="6"/>
      <c r="AO929" s="6"/>
      <c r="AP929" s="6"/>
      <c r="AQ929" s="6"/>
      <c r="AR929" s="6"/>
      <c r="AS929" s="6"/>
    </row>
    <row r="930" spans="1:45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12"/>
      <c r="AK930" s="12"/>
      <c r="AL930" s="6"/>
      <c r="AM930" s="6"/>
      <c r="AN930" s="6"/>
      <c r="AO930" s="6"/>
      <c r="AP930" s="6"/>
      <c r="AQ930" s="6"/>
      <c r="AR930" s="6"/>
      <c r="AS930" s="6"/>
    </row>
    <row r="931" spans="1:45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12"/>
      <c r="AK931" s="12"/>
      <c r="AL931" s="6"/>
      <c r="AM931" s="6"/>
      <c r="AN931" s="6"/>
      <c r="AO931" s="6"/>
      <c r="AP931" s="6"/>
      <c r="AQ931" s="6"/>
      <c r="AR931" s="6"/>
      <c r="AS931" s="6"/>
    </row>
    <row r="932" spans="1:45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12"/>
      <c r="AK932" s="12"/>
      <c r="AL932" s="6"/>
      <c r="AM932" s="6"/>
      <c r="AN932" s="6"/>
      <c r="AO932" s="6"/>
      <c r="AP932" s="6"/>
      <c r="AQ932" s="6"/>
      <c r="AR932" s="6"/>
      <c r="AS932" s="6"/>
    </row>
    <row r="933" spans="1:45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12"/>
      <c r="AK933" s="12"/>
      <c r="AL933" s="6"/>
      <c r="AM933" s="6"/>
      <c r="AN933" s="6"/>
      <c r="AO933" s="6"/>
      <c r="AP933" s="6"/>
      <c r="AQ933" s="6"/>
      <c r="AR933" s="6"/>
      <c r="AS933" s="6"/>
    </row>
    <row r="934" spans="1:45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12"/>
      <c r="AK934" s="12"/>
      <c r="AL934" s="6"/>
      <c r="AM934" s="6"/>
      <c r="AN934" s="6"/>
      <c r="AO934" s="6"/>
      <c r="AP934" s="6"/>
      <c r="AQ934" s="6"/>
      <c r="AR934" s="6"/>
      <c r="AS934" s="6"/>
    </row>
    <row r="935" spans="1:4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12"/>
      <c r="AK935" s="12"/>
      <c r="AL935" s="6"/>
      <c r="AM935" s="6"/>
      <c r="AN935" s="6"/>
      <c r="AO935" s="6"/>
      <c r="AP935" s="6"/>
      <c r="AQ935" s="6"/>
      <c r="AR935" s="6"/>
      <c r="AS935" s="6"/>
    </row>
    <row r="936" spans="1:45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12"/>
      <c r="AK936" s="12"/>
      <c r="AL936" s="6"/>
      <c r="AM936" s="6"/>
      <c r="AN936" s="6"/>
      <c r="AO936" s="6"/>
      <c r="AP936" s="6"/>
      <c r="AQ936" s="6"/>
      <c r="AR936" s="6"/>
      <c r="AS936" s="6"/>
    </row>
    <row r="937" spans="1:45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12"/>
      <c r="AK937" s="12"/>
      <c r="AL937" s="6"/>
      <c r="AM937" s="6"/>
      <c r="AN937" s="6"/>
      <c r="AO937" s="6"/>
      <c r="AP937" s="6"/>
      <c r="AQ937" s="6"/>
      <c r="AR937" s="6"/>
      <c r="AS937" s="6"/>
    </row>
    <row r="938" spans="1:45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12"/>
      <c r="AK938" s="12"/>
      <c r="AL938" s="6"/>
      <c r="AM938" s="6"/>
      <c r="AN938" s="6"/>
      <c r="AO938" s="6"/>
      <c r="AP938" s="6"/>
      <c r="AQ938" s="6"/>
      <c r="AR938" s="6"/>
      <c r="AS938" s="6"/>
    </row>
    <row r="939" spans="1:45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12"/>
      <c r="AK939" s="12"/>
      <c r="AL939" s="6"/>
      <c r="AM939" s="6"/>
      <c r="AN939" s="6"/>
      <c r="AO939" s="6"/>
      <c r="AP939" s="6"/>
      <c r="AQ939" s="6"/>
      <c r="AR939" s="6"/>
      <c r="AS939" s="6"/>
    </row>
    <row r="940" spans="1:45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12"/>
      <c r="AK940" s="12"/>
      <c r="AL940" s="6"/>
      <c r="AM940" s="6"/>
      <c r="AN940" s="6"/>
      <c r="AO940" s="6"/>
      <c r="AP940" s="6"/>
      <c r="AQ940" s="6"/>
      <c r="AR940" s="6"/>
      <c r="AS940" s="6"/>
    </row>
    <row r="941" spans="1:45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12"/>
      <c r="AK941" s="12"/>
      <c r="AL941" s="6"/>
      <c r="AM941" s="6"/>
      <c r="AN941" s="6"/>
      <c r="AO941" s="6"/>
      <c r="AP941" s="6"/>
      <c r="AQ941" s="6"/>
      <c r="AR941" s="6"/>
      <c r="AS941" s="6"/>
    </row>
    <row r="942" spans="1:45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12"/>
      <c r="AK942" s="12"/>
      <c r="AL942" s="6"/>
      <c r="AM942" s="6"/>
      <c r="AN942" s="6"/>
      <c r="AO942" s="6"/>
      <c r="AP942" s="6"/>
      <c r="AQ942" s="6"/>
      <c r="AR942" s="6"/>
      <c r="AS942" s="6"/>
    </row>
    <row r="943" spans="1:45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12"/>
      <c r="AK943" s="12"/>
      <c r="AL943" s="6"/>
      <c r="AM943" s="6"/>
      <c r="AN943" s="6"/>
      <c r="AO943" s="6"/>
      <c r="AP943" s="6"/>
      <c r="AQ943" s="6"/>
      <c r="AR943" s="6"/>
      <c r="AS943" s="6"/>
    </row>
    <row r="944" spans="1:45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12"/>
      <c r="AK944" s="12"/>
      <c r="AL944" s="6"/>
      <c r="AM944" s="6"/>
      <c r="AN944" s="6"/>
      <c r="AO944" s="6"/>
      <c r="AP944" s="6"/>
      <c r="AQ944" s="6"/>
      <c r="AR944" s="6"/>
      <c r="AS944" s="6"/>
    </row>
    <row r="945" spans="1: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12"/>
      <c r="AK945" s="12"/>
      <c r="AL945" s="6"/>
      <c r="AM945" s="6"/>
      <c r="AN945" s="6"/>
      <c r="AO945" s="6"/>
      <c r="AP945" s="6"/>
      <c r="AQ945" s="6"/>
      <c r="AR945" s="6"/>
      <c r="AS945" s="6"/>
    </row>
    <row r="946" spans="1:45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12"/>
      <c r="AK946" s="12"/>
      <c r="AL946" s="6"/>
      <c r="AM946" s="6"/>
      <c r="AN946" s="6"/>
      <c r="AO946" s="6"/>
      <c r="AP946" s="6"/>
      <c r="AQ946" s="6"/>
      <c r="AR946" s="6"/>
      <c r="AS946" s="6"/>
    </row>
    <row r="947" spans="1:45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12"/>
      <c r="AK947" s="12"/>
      <c r="AL947" s="6"/>
      <c r="AM947" s="6"/>
      <c r="AN947" s="6"/>
      <c r="AO947" s="6"/>
      <c r="AP947" s="6"/>
      <c r="AQ947" s="6"/>
      <c r="AR947" s="6"/>
      <c r="AS947" s="6"/>
    </row>
    <row r="948" spans="1:45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12"/>
      <c r="AK948" s="12"/>
      <c r="AL948" s="6"/>
      <c r="AM948" s="6"/>
      <c r="AN948" s="6"/>
      <c r="AO948" s="6"/>
      <c r="AP948" s="6"/>
      <c r="AQ948" s="6"/>
      <c r="AR948" s="6"/>
      <c r="AS948" s="6"/>
    </row>
    <row r="949" spans="1:45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12"/>
      <c r="AK949" s="12"/>
      <c r="AL949" s="6"/>
      <c r="AM949" s="6"/>
      <c r="AN949" s="6"/>
      <c r="AO949" s="6"/>
      <c r="AP949" s="6"/>
      <c r="AQ949" s="6"/>
      <c r="AR949" s="6"/>
      <c r="AS949" s="6"/>
    </row>
    <row r="950" spans="1:45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12"/>
      <c r="AK950" s="12"/>
      <c r="AL950" s="6"/>
      <c r="AM950" s="6"/>
      <c r="AN950" s="6"/>
      <c r="AO950" s="6"/>
      <c r="AP950" s="6"/>
      <c r="AQ950" s="6"/>
      <c r="AR950" s="6"/>
      <c r="AS950" s="6"/>
    </row>
    <row r="951" spans="1:45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12"/>
      <c r="AK951" s="12"/>
      <c r="AL951" s="6"/>
      <c r="AM951" s="6"/>
      <c r="AN951" s="6"/>
      <c r="AO951" s="6"/>
      <c r="AP951" s="6"/>
      <c r="AQ951" s="6"/>
      <c r="AR951" s="6"/>
      <c r="AS951" s="6"/>
    </row>
    <row r="952" spans="1:45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12"/>
      <c r="AK952" s="12"/>
      <c r="AL952" s="6"/>
      <c r="AM952" s="6"/>
      <c r="AN952" s="6"/>
      <c r="AO952" s="6"/>
      <c r="AP952" s="6"/>
      <c r="AQ952" s="6"/>
      <c r="AR952" s="6"/>
      <c r="AS952" s="6"/>
    </row>
    <row r="953" spans="1:45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12"/>
      <c r="AK953" s="12"/>
      <c r="AL953" s="6"/>
      <c r="AM953" s="6"/>
      <c r="AN953" s="6"/>
      <c r="AO953" s="6"/>
      <c r="AP953" s="6"/>
      <c r="AQ953" s="6"/>
      <c r="AR953" s="6"/>
      <c r="AS953" s="6"/>
    </row>
    <row r="954" spans="1:45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12"/>
      <c r="AK954" s="12"/>
      <c r="AL954" s="6"/>
      <c r="AM954" s="6"/>
      <c r="AN954" s="6"/>
      <c r="AO954" s="6"/>
      <c r="AP954" s="6"/>
      <c r="AQ954" s="6"/>
      <c r="AR954" s="6"/>
      <c r="AS954" s="6"/>
    </row>
    <row r="955" spans="1:4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12"/>
      <c r="AK955" s="12"/>
      <c r="AL955" s="6"/>
      <c r="AM955" s="6"/>
      <c r="AN955" s="6"/>
      <c r="AO955" s="6"/>
      <c r="AP955" s="6"/>
      <c r="AQ955" s="6"/>
      <c r="AR955" s="6"/>
      <c r="AS955" s="6"/>
    </row>
    <row r="956" spans="1:45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12"/>
      <c r="AK956" s="12"/>
      <c r="AL956" s="6"/>
      <c r="AM956" s="6"/>
      <c r="AN956" s="6"/>
      <c r="AO956" s="6"/>
      <c r="AP956" s="6"/>
      <c r="AQ956" s="6"/>
      <c r="AR956" s="6"/>
      <c r="AS956" s="6"/>
    </row>
    <row r="957" spans="1:45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12"/>
      <c r="AK957" s="12"/>
      <c r="AL957" s="6"/>
      <c r="AM957" s="6"/>
      <c r="AN957" s="6"/>
      <c r="AO957" s="6"/>
      <c r="AP957" s="6"/>
      <c r="AQ957" s="6"/>
      <c r="AR957" s="6"/>
      <c r="AS957" s="6"/>
    </row>
    <row r="958" spans="1:45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12"/>
      <c r="AK958" s="12"/>
      <c r="AL958" s="6"/>
      <c r="AM958" s="6"/>
      <c r="AN958" s="6"/>
      <c r="AO958" s="6"/>
      <c r="AP958" s="6"/>
      <c r="AQ958" s="6"/>
      <c r="AR958" s="6"/>
      <c r="AS958" s="6"/>
    </row>
    <row r="959" spans="1:45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12"/>
      <c r="AK959" s="12"/>
      <c r="AL959" s="6"/>
      <c r="AM959" s="6"/>
      <c r="AN959" s="6"/>
      <c r="AO959" s="6"/>
      <c r="AP959" s="6"/>
      <c r="AQ959" s="6"/>
      <c r="AR959" s="6"/>
      <c r="AS959" s="6"/>
    </row>
    <row r="960" spans="1:45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12"/>
      <c r="AK960" s="12"/>
      <c r="AL960" s="6"/>
      <c r="AM960" s="6"/>
      <c r="AN960" s="6"/>
      <c r="AO960" s="6"/>
      <c r="AP960" s="6"/>
      <c r="AQ960" s="6"/>
      <c r="AR960" s="6"/>
      <c r="AS960" s="6"/>
    </row>
    <row r="961" spans="1:45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12"/>
      <c r="AK961" s="12"/>
      <c r="AL961" s="6"/>
      <c r="AM961" s="6"/>
      <c r="AN961" s="6"/>
      <c r="AO961" s="6"/>
      <c r="AP961" s="6"/>
      <c r="AQ961" s="6"/>
      <c r="AR961" s="6"/>
      <c r="AS961" s="6"/>
    </row>
    <row r="962" spans="1:45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12"/>
      <c r="AK962" s="12"/>
      <c r="AL962" s="6"/>
      <c r="AM962" s="6"/>
      <c r="AN962" s="6"/>
      <c r="AO962" s="6"/>
      <c r="AP962" s="6"/>
      <c r="AQ962" s="6"/>
      <c r="AR962" s="6"/>
      <c r="AS962" s="6"/>
    </row>
    <row r="963" spans="1:45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12"/>
      <c r="AK963" s="12"/>
      <c r="AL963" s="6"/>
      <c r="AM963" s="6"/>
      <c r="AN963" s="6"/>
      <c r="AO963" s="6"/>
      <c r="AP963" s="6"/>
      <c r="AQ963" s="6"/>
      <c r="AR963" s="6"/>
      <c r="AS963" s="6"/>
    </row>
    <row r="964" spans="1:45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12"/>
      <c r="AK964" s="12"/>
      <c r="AL964" s="6"/>
      <c r="AM964" s="6"/>
      <c r="AN964" s="6"/>
      <c r="AO964" s="6"/>
      <c r="AP964" s="6"/>
      <c r="AQ964" s="6"/>
      <c r="AR964" s="6"/>
      <c r="AS964" s="6"/>
    </row>
    <row r="965" spans="1:4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12"/>
      <c r="AK965" s="12"/>
      <c r="AL965" s="6"/>
      <c r="AM965" s="6"/>
      <c r="AN965" s="6"/>
      <c r="AO965" s="6"/>
      <c r="AP965" s="6"/>
      <c r="AQ965" s="6"/>
      <c r="AR965" s="6"/>
      <c r="AS965" s="6"/>
    </row>
    <row r="966" spans="1:45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12"/>
      <c r="AK966" s="12"/>
      <c r="AL966" s="6"/>
      <c r="AM966" s="6"/>
      <c r="AN966" s="6"/>
      <c r="AO966" s="6"/>
      <c r="AP966" s="6"/>
      <c r="AQ966" s="6"/>
      <c r="AR966" s="6"/>
      <c r="AS966" s="6"/>
    </row>
  </sheetData>
  <mergeCells count="88">
    <mergeCell ref="AO19:AQ19"/>
    <mergeCell ref="AO20:AQ20"/>
    <mergeCell ref="AO21:AQ21"/>
    <mergeCell ref="AO22:AQ22"/>
    <mergeCell ref="AO23:AQ23"/>
    <mergeCell ref="AJ11:AJ14"/>
    <mergeCell ref="AM9:AQ10"/>
    <mergeCell ref="D9:D10"/>
    <mergeCell ref="L9:L10"/>
    <mergeCell ref="T9:T10"/>
    <mergeCell ref="AB9:AB10"/>
    <mergeCell ref="AJ9:AJ10"/>
    <mergeCell ref="AL17:AL18"/>
    <mergeCell ref="AM11:AQ11"/>
    <mergeCell ref="AM12:AQ12"/>
    <mergeCell ref="AM13:AQ13"/>
    <mergeCell ref="AM14:AQ14"/>
    <mergeCell ref="A16:AQ16"/>
    <mergeCell ref="AM17:AM18"/>
    <mergeCell ref="AO17:AQ18"/>
    <mergeCell ref="D17:D18"/>
    <mergeCell ref="L17:L18"/>
    <mergeCell ref="T17:T18"/>
    <mergeCell ref="AB17:AB18"/>
    <mergeCell ref="AJ17:AJ18"/>
    <mergeCell ref="D11:D14"/>
    <mergeCell ref="T11:T14"/>
    <mergeCell ref="AB11:AB14"/>
    <mergeCell ref="AJ1:AO1"/>
    <mergeCell ref="AJ2:AO2"/>
    <mergeCell ref="AJ3:AO3"/>
    <mergeCell ref="AJ4:AO4"/>
    <mergeCell ref="AL9:AL10"/>
    <mergeCell ref="A8:AQ8"/>
    <mergeCell ref="O34:R34"/>
    <mergeCell ref="F30:H30"/>
    <mergeCell ref="I30:J30"/>
    <mergeCell ref="O30:R30"/>
    <mergeCell ref="O31:R31"/>
    <mergeCell ref="I32:J32"/>
    <mergeCell ref="F33:H33"/>
    <mergeCell ref="I33:J33"/>
    <mergeCell ref="K30:L30"/>
    <mergeCell ref="M30:N30"/>
    <mergeCell ref="O35:R35"/>
    <mergeCell ref="O36:R36"/>
    <mergeCell ref="O37:R37"/>
    <mergeCell ref="O32:R32"/>
    <mergeCell ref="A1:A4"/>
    <mergeCell ref="A9:A10"/>
    <mergeCell ref="A17:A18"/>
    <mergeCell ref="B1:U4"/>
    <mergeCell ref="B6:AL6"/>
    <mergeCell ref="B7:AM7"/>
    <mergeCell ref="B5:AN5"/>
    <mergeCell ref="F31:H31"/>
    <mergeCell ref="I31:J31"/>
    <mergeCell ref="C36:E36"/>
    <mergeCell ref="C32:E32"/>
    <mergeCell ref="F32:H32"/>
    <mergeCell ref="S45:AB45"/>
    <mergeCell ref="AH45:AO45"/>
    <mergeCell ref="C46:O46"/>
    <mergeCell ref="S46:AB46"/>
    <mergeCell ref="AH46:AP46"/>
    <mergeCell ref="B45:N45"/>
    <mergeCell ref="K29:L29"/>
    <mergeCell ref="M29:N29"/>
    <mergeCell ref="B28:R28"/>
    <mergeCell ref="O29:R29"/>
    <mergeCell ref="C33:E33"/>
    <mergeCell ref="C30:E30"/>
    <mergeCell ref="C31:E31"/>
    <mergeCell ref="B29:E29"/>
    <mergeCell ref="F29:H29"/>
    <mergeCell ref="I29:J29"/>
    <mergeCell ref="O33:R33"/>
    <mergeCell ref="C37:E37"/>
    <mergeCell ref="K34:L34"/>
    <mergeCell ref="M34:N34"/>
    <mergeCell ref="F36:H36"/>
    <mergeCell ref="I36:J36"/>
    <mergeCell ref="F34:H34"/>
    <mergeCell ref="I34:J34"/>
    <mergeCell ref="F35:H35"/>
    <mergeCell ref="I35:J35"/>
    <mergeCell ref="C34:E34"/>
    <mergeCell ref="C35:E35"/>
  </mergeCells>
  <conditionalFormatting sqref="K30">
    <cfRule type="cellIs" dxfId="3" priority="1" operator="equal">
      <formula>#REF!</formula>
    </cfRule>
  </conditionalFormatting>
  <conditionalFormatting sqref="M30">
    <cfRule type="cellIs" dxfId="2" priority="2" operator="equal">
      <formula>#REF!</formula>
    </cfRule>
  </conditionalFormatting>
  <pageMargins left="0.25" right="0.25" top="0.75" bottom="0.75" header="0.3" footer="0.3"/>
  <pageSetup scale="64" fitToHeight="0" orientation="landscape" r:id="rId1"/>
  <ignoredErrors>
    <ignoredError sqref="E23:F23 E19 H19:I19 M19 AC19 K19 N21:AB21 L21 AE21:AM22 L22:AB22 AC21:AD22 M21 D22:K22 D21:K21 Q19 AB19:AB20 AJ19:AJ20 H23:K23 H2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8922-D5C0-40A5-9FB5-B94F798EF1F1}">
  <sheetPr>
    <tabColor theme="8" tint="0.39988402966399123"/>
    <pageSetUpPr fitToPage="1"/>
  </sheetPr>
  <dimension ref="A1:AT966"/>
  <sheetViews>
    <sheetView showGridLines="0" tabSelected="1" zoomScale="70" zoomScaleNormal="70" zoomScaleSheetLayoutView="90" workbookViewId="0">
      <pane xSplit="1" topLeftCell="B1" activePane="topRight" state="frozen"/>
      <selection pane="topRight" activeCell="B28" sqref="B28:R37"/>
    </sheetView>
  </sheetViews>
  <sheetFormatPr baseColWidth="10" defaultColWidth="12.625" defaultRowHeight="15" customHeight="1"/>
  <cols>
    <col min="1" max="1" width="22.875" style="7" customWidth="1"/>
    <col min="2" max="3" width="4.375" style="7" customWidth="1"/>
    <col min="4" max="4" width="3.625" style="7" customWidth="1"/>
    <col min="5" max="5" width="4.375" style="7" customWidth="1"/>
    <col min="6" max="6" width="3.75" style="7" customWidth="1"/>
    <col min="7" max="7" width="4" style="7" customWidth="1"/>
    <col min="8" max="8" width="4.375" style="7" customWidth="1"/>
    <col min="9" max="9" width="5" style="7" customWidth="1"/>
    <col min="10" max="10" width="4.25" style="7" customWidth="1"/>
    <col min="11" max="12" width="4.375" style="7" customWidth="1"/>
    <col min="13" max="13" width="4.625" style="7" customWidth="1"/>
    <col min="14" max="14" width="4.25" style="7" customWidth="1"/>
    <col min="15" max="15" width="5.125" style="7" customWidth="1"/>
    <col min="16" max="17" width="4.375" style="7" customWidth="1"/>
    <col min="18" max="18" width="4.875" style="7" customWidth="1"/>
    <col min="19" max="19" width="4.5" style="7" customWidth="1"/>
    <col min="20" max="20" width="4.375" style="7" customWidth="1"/>
    <col min="21" max="21" width="4.75" style="7" customWidth="1"/>
    <col min="22" max="22" width="4.375" style="7" customWidth="1"/>
    <col min="23" max="23" width="4.875" style="7" customWidth="1"/>
    <col min="24" max="27" width="4.375" style="7" customWidth="1"/>
    <col min="28" max="28" width="4.75" style="7" customWidth="1"/>
    <col min="29" max="29" width="3.625" style="7" customWidth="1"/>
    <col min="30" max="30" width="4.75" style="7" customWidth="1"/>
    <col min="31" max="31" width="5.375" style="7" customWidth="1"/>
    <col min="32" max="32" width="4.75" style="7" customWidth="1"/>
    <col min="33" max="33" width="5.25" style="7" customWidth="1"/>
    <col min="34" max="34" width="4.25" style="7" customWidth="1"/>
    <col min="35" max="35" width="4.375" style="7" customWidth="1"/>
    <col min="36" max="36" width="5" style="7" bestFit="1" customWidth="1"/>
    <col min="37" max="37" width="6.25" style="7" customWidth="1"/>
    <col min="38" max="38" width="6.125" style="7" customWidth="1"/>
    <col min="39" max="39" width="5" style="7" customWidth="1"/>
    <col min="40" max="40" width="3.875" style="7" hidden="1" customWidth="1"/>
    <col min="41" max="41" width="16" style="7" customWidth="1"/>
    <col min="42" max="45" width="10" style="7" customWidth="1"/>
    <col min="46" max="16384" width="12.625" style="7"/>
  </cols>
  <sheetData>
    <row r="1" spans="1:45" ht="15.75" customHeight="1">
      <c r="A1" s="119"/>
      <c r="B1" s="180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81"/>
      <c r="AJ1" s="142" t="s">
        <v>0</v>
      </c>
      <c r="AK1" s="142"/>
      <c r="AL1" s="142"/>
      <c r="AM1" s="142"/>
      <c r="AN1" s="142"/>
      <c r="AO1" s="142"/>
      <c r="AP1" s="14"/>
      <c r="AQ1" s="14"/>
      <c r="AR1" s="14"/>
      <c r="AS1" s="14"/>
    </row>
    <row r="2" spans="1:45" ht="15" customHeight="1">
      <c r="A2" s="120"/>
      <c r="B2" s="182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83"/>
      <c r="AJ2" s="142" t="s">
        <v>1</v>
      </c>
      <c r="AK2" s="142"/>
      <c r="AL2" s="142"/>
      <c r="AM2" s="142"/>
      <c r="AN2" s="142"/>
      <c r="AO2" s="142"/>
      <c r="AP2" s="14"/>
      <c r="AQ2" s="14"/>
      <c r="AR2" s="14"/>
      <c r="AS2" s="14"/>
    </row>
    <row r="3" spans="1:45" ht="20.25" customHeight="1">
      <c r="A3" s="120"/>
      <c r="B3" s="182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83"/>
      <c r="AJ3" s="142" t="s">
        <v>2</v>
      </c>
      <c r="AK3" s="142"/>
      <c r="AL3" s="142"/>
      <c r="AM3" s="142"/>
      <c r="AN3" s="142"/>
      <c r="AO3" s="142"/>
    </row>
    <row r="4" spans="1:45" ht="23.25" customHeight="1">
      <c r="A4" s="121"/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6"/>
      <c r="AJ4" s="143" t="s">
        <v>3</v>
      </c>
      <c r="AK4" s="143"/>
      <c r="AL4" s="143"/>
      <c r="AM4" s="143"/>
      <c r="AN4" s="143"/>
      <c r="AO4" s="143"/>
    </row>
    <row r="5" spans="1:45" ht="18.75">
      <c r="A5" s="17" t="s">
        <v>38</v>
      </c>
      <c r="B5" s="132" t="s">
        <v>4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3"/>
      <c r="AP5" s="14"/>
      <c r="AQ5" s="14"/>
      <c r="AR5" s="14"/>
      <c r="AS5" s="14"/>
    </row>
    <row r="6" spans="1:45" ht="18.75">
      <c r="A6" s="17" t="s">
        <v>39</v>
      </c>
      <c r="B6" s="128" t="s">
        <v>40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54"/>
      <c r="AN6" s="14"/>
      <c r="AO6" s="55"/>
      <c r="AP6" s="14"/>
      <c r="AQ6" s="14"/>
      <c r="AR6" s="14"/>
      <c r="AS6" s="14"/>
    </row>
    <row r="7" spans="1:45" ht="15.75">
      <c r="A7" s="18" t="s">
        <v>5</v>
      </c>
      <c r="B7" s="173" t="s">
        <v>56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56"/>
      <c r="AO7" s="57"/>
      <c r="AP7" s="14"/>
      <c r="AQ7" s="14"/>
      <c r="AR7" s="14"/>
      <c r="AS7" s="14"/>
    </row>
    <row r="8" spans="1:45" ht="15.75">
      <c r="A8" s="175" t="s">
        <v>6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7"/>
      <c r="AP8" s="6"/>
      <c r="AQ8" s="6"/>
      <c r="AR8" s="6"/>
      <c r="AS8" s="6"/>
    </row>
    <row r="9" spans="1:45" ht="18.75" customHeight="1">
      <c r="A9" s="178" t="s">
        <v>51</v>
      </c>
      <c r="B9" s="43">
        <v>1</v>
      </c>
      <c r="C9" s="43">
        <v>2</v>
      </c>
      <c r="D9" s="155" t="s">
        <v>28</v>
      </c>
      <c r="E9" s="43">
        <v>3</v>
      </c>
      <c r="F9" s="43">
        <v>4</v>
      </c>
      <c r="G9" s="43">
        <v>5</v>
      </c>
      <c r="H9" s="43">
        <v>6</v>
      </c>
      <c r="I9" s="43">
        <v>7</v>
      </c>
      <c r="J9" s="43">
        <v>8</v>
      </c>
      <c r="K9" s="43">
        <v>9</v>
      </c>
      <c r="L9" s="155" t="s">
        <v>28</v>
      </c>
      <c r="M9" s="43">
        <v>10</v>
      </c>
      <c r="N9" s="43">
        <v>11</v>
      </c>
      <c r="O9" s="43">
        <v>12</v>
      </c>
      <c r="P9" s="43">
        <v>13</v>
      </c>
      <c r="Q9" s="43">
        <v>14</v>
      </c>
      <c r="R9" s="43">
        <v>15</v>
      </c>
      <c r="S9" s="43">
        <v>16</v>
      </c>
      <c r="T9" s="155" t="s">
        <v>28</v>
      </c>
      <c r="U9" s="43">
        <v>17</v>
      </c>
      <c r="V9" s="43">
        <v>18</v>
      </c>
      <c r="W9" s="43">
        <v>19</v>
      </c>
      <c r="X9" s="43">
        <v>20</v>
      </c>
      <c r="Y9" s="43">
        <v>21</v>
      </c>
      <c r="Z9" s="43">
        <v>22</v>
      </c>
      <c r="AA9" s="43">
        <v>23</v>
      </c>
      <c r="AB9" s="155" t="s">
        <v>28</v>
      </c>
      <c r="AC9" s="43">
        <v>24</v>
      </c>
      <c r="AD9" s="43">
        <v>25</v>
      </c>
      <c r="AE9" s="43">
        <v>26</v>
      </c>
      <c r="AF9" s="43">
        <v>27</v>
      </c>
      <c r="AG9" s="43">
        <v>28</v>
      </c>
      <c r="AH9" s="43">
        <v>29</v>
      </c>
      <c r="AI9" s="43">
        <v>30</v>
      </c>
      <c r="AJ9" s="157"/>
      <c r="AK9" s="65">
        <v>31</v>
      </c>
      <c r="AL9" s="187"/>
      <c r="AM9" s="188" t="s">
        <v>8</v>
      </c>
      <c r="AN9" s="188"/>
      <c r="AO9" s="188"/>
      <c r="AP9" s="188"/>
      <c r="AQ9" s="189"/>
      <c r="AR9" s="14"/>
      <c r="AS9" s="14"/>
    </row>
    <row r="10" spans="1:45" ht="15" customHeight="1">
      <c r="A10" s="179"/>
      <c r="B10" s="45" t="s">
        <v>14</v>
      </c>
      <c r="C10" s="44" t="s">
        <v>9</v>
      </c>
      <c r="D10" s="156"/>
      <c r="E10" s="44" t="s">
        <v>10</v>
      </c>
      <c r="F10" s="43" t="s">
        <v>11</v>
      </c>
      <c r="G10" s="43" t="s">
        <v>11</v>
      </c>
      <c r="H10" s="43" t="s">
        <v>12</v>
      </c>
      <c r="I10" s="43" t="s">
        <v>13</v>
      </c>
      <c r="J10" s="43" t="s">
        <v>14</v>
      </c>
      <c r="K10" s="43" t="s">
        <v>9</v>
      </c>
      <c r="L10" s="156"/>
      <c r="M10" s="44" t="s">
        <v>10</v>
      </c>
      <c r="N10" s="43" t="s">
        <v>11</v>
      </c>
      <c r="O10" s="43" t="s">
        <v>11</v>
      </c>
      <c r="P10" s="43" t="s">
        <v>12</v>
      </c>
      <c r="Q10" s="43" t="s">
        <v>13</v>
      </c>
      <c r="R10" s="43" t="s">
        <v>14</v>
      </c>
      <c r="S10" s="43" t="s">
        <v>9</v>
      </c>
      <c r="T10" s="156"/>
      <c r="U10" s="44" t="s">
        <v>10</v>
      </c>
      <c r="V10" s="43" t="s">
        <v>11</v>
      </c>
      <c r="W10" s="43" t="s">
        <v>11</v>
      </c>
      <c r="X10" s="43" t="s">
        <v>12</v>
      </c>
      <c r="Y10" s="43" t="s">
        <v>13</v>
      </c>
      <c r="Z10" s="43" t="s">
        <v>14</v>
      </c>
      <c r="AA10" s="43" t="s">
        <v>9</v>
      </c>
      <c r="AB10" s="156"/>
      <c r="AC10" s="44" t="s">
        <v>10</v>
      </c>
      <c r="AD10" s="43" t="s">
        <v>11</v>
      </c>
      <c r="AE10" s="43" t="s">
        <v>11</v>
      </c>
      <c r="AF10" s="43" t="s">
        <v>12</v>
      </c>
      <c r="AG10" s="43" t="s">
        <v>13</v>
      </c>
      <c r="AH10" s="43" t="s">
        <v>14</v>
      </c>
      <c r="AI10" s="43" t="s">
        <v>9</v>
      </c>
      <c r="AJ10" s="158"/>
      <c r="AK10" s="78" t="s">
        <v>10</v>
      </c>
      <c r="AL10" s="145"/>
      <c r="AM10" s="169"/>
      <c r="AN10" s="169"/>
      <c r="AO10" s="169"/>
      <c r="AP10" s="169"/>
      <c r="AQ10" s="170"/>
      <c r="AR10" s="14"/>
      <c r="AS10" s="14"/>
    </row>
    <row r="11" spans="1:45" ht="20.25" customHeight="1">
      <c r="A11" s="49" t="s">
        <v>34</v>
      </c>
      <c r="B11" s="48" t="s">
        <v>22</v>
      </c>
      <c r="C11" s="48" t="s">
        <v>22</v>
      </c>
      <c r="D11" s="160"/>
      <c r="E11" s="39" t="s">
        <v>11</v>
      </c>
      <c r="F11" s="39" t="s">
        <v>10</v>
      </c>
      <c r="G11" s="39" t="s">
        <v>9</v>
      </c>
      <c r="H11" s="39" t="s">
        <v>9</v>
      </c>
      <c r="I11" s="48" t="s">
        <v>22</v>
      </c>
      <c r="J11" s="46" t="s">
        <v>10</v>
      </c>
      <c r="K11" s="47" t="s">
        <v>10</v>
      </c>
      <c r="L11" s="75"/>
      <c r="M11" s="39" t="s">
        <v>9</v>
      </c>
      <c r="N11" s="39" t="s">
        <v>25</v>
      </c>
      <c r="O11" s="39" t="s">
        <v>10</v>
      </c>
      <c r="P11" s="39" t="s">
        <v>25</v>
      </c>
      <c r="Q11" s="39" t="s">
        <v>11</v>
      </c>
      <c r="R11" s="48" t="s">
        <v>21</v>
      </c>
      <c r="S11" s="48" t="s">
        <v>21</v>
      </c>
      <c r="T11" s="163"/>
      <c r="U11" s="47" t="s">
        <v>10</v>
      </c>
      <c r="V11" s="39" t="s">
        <v>25</v>
      </c>
      <c r="W11" s="39" t="s">
        <v>10</v>
      </c>
      <c r="X11" s="39" t="s">
        <v>25</v>
      </c>
      <c r="Y11" s="39" t="s">
        <v>25</v>
      </c>
      <c r="Z11" s="46" t="s">
        <v>10</v>
      </c>
      <c r="AA11" s="47" t="s">
        <v>10</v>
      </c>
      <c r="AB11" s="163"/>
      <c r="AC11" s="39" t="s">
        <v>9</v>
      </c>
      <c r="AD11" s="39" t="s">
        <v>57</v>
      </c>
      <c r="AE11" s="39" t="s">
        <v>10</v>
      </c>
      <c r="AF11" s="39" t="s">
        <v>9</v>
      </c>
      <c r="AG11" s="39" t="s">
        <v>10</v>
      </c>
      <c r="AH11" s="48" t="s">
        <v>22</v>
      </c>
      <c r="AI11" s="48" t="s">
        <v>22</v>
      </c>
      <c r="AJ11" s="166"/>
      <c r="AK11" s="39" t="s">
        <v>25</v>
      </c>
      <c r="AL11" s="74" t="s">
        <v>7</v>
      </c>
      <c r="AM11" s="190"/>
      <c r="AN11" s="190"/>
      <c r="AO11" s="190"/>
      <c r="AP11" s="190"/>
      <c r="AQ11" s="190"/>
      <c r="AR11" s="14"/>
      <c r="AS11" s="14"/>
    </row>
    <row r="12" spans="1:45" ht="18" customHeight="1">
      <c r="A12" s="50" t="s">
        <v>35</v>
      </c>
      <c r="B12" s="48" t="s">
        <v>21</v>
      </c>
      <c r="C12" s="48" t="s">
        <v>21</v>
      </c>
      <c r="D12" s="161"/>
      <c r="E12" s="39" t="s">
        <v>10</v>
      </c>
      <c r="F12" s="39" t="s">
        <v>11</v>
      </c>
      <c r="G12" s="39" t="s">
        <v>25</v>
      </c>
      <c r="H12" s="39" t="s">
        <v>10</v>
      </c>
      <c r="I12" s="48" t="s">
        <v>21</v>
      </c>
      <c r="J12" s="46" t="s">
        <v>10</v>
      </c>
      <c r="K12" s="47" t="s">
        <v>10</v>
      </c>
      <c r="L12" s="69"/>
      <c r="M12" s="39" t="s">
        <v>9</v>
      </c>
      <c r="N12" s="39" t="s">
        <v>9</v>
      </c>
      <c r="O12" s="39" t="s">
        <v>25</v>
      </c>
      <c r="P12" s="39" t="s">
        <v>10</v>
      </c>
      <c r="Q12" s="39" t="s">
        <v>11</v>
      </c>
      <c r="R12" s="48" t="s">
        <v>22</v>
      </c>
      <c r="S12" s="48" t="s">
        <v>22</v>
      </c>
      <c r="T12" s="164"/>
      <c r="U12" s="47" t="s">
        <v>10</v>
      </c>
      <c r="V12" s="39" t="s">
        <v>11</v>
      </c>
      <c r="W12" s="39" t="s">
        <v>9</v>
      </c>
      <c r="X12" s="39" t="s">
        <v>11</v>
      </c>
      <c r="Y12" s="39" t="s">
        <v>11</v>
      </c>
      <c r="Z12" s="46" t="s">
        <v>10</v>
      </c>
      <c r="AA12" s="47" t="s">
        <v>10</v>
      </c>
      <c r="AB12" s="164"/>
      <c r="AC12" s="39" t="s">
        <v>9</v>
      </c>
      <c r="AD12" s="39" t="s">
        <v>25</v>
      </c>
      <c r="AE12" s="39" t="s">
        <v>25</v>
      </c>
      <c r="AF12" s="39" t="s">
        <v>10</v>
      </c>
      <c r="AG12" s="39" t="s">
        <v>9</v>
      </c>
      <c r="AH12" s="48" t="s">
        <v>21</v>
      </c>
      <c r="AI12" s="48" t="s">
        <v>21</v>
      </c>
      <c r="AJ12" s="164"/>
      <c r="AK12" s="39" t="s">
        <v>10</v>
      </c>
      <c r="AL12" s="74" t="s">
        <v>7</v>
      </c>
      <c r="AM12" s="190"/>
      <c r="AN12" s="190"/>
      <c r="AO12" s="190"/>
      <c r="AP12" s="190"/>
      <c r="AQ12" s="190"/>
      <c r="AR12" s="14"/>
      <c r="AS12" s="14"/>
    </row>
    <row r="13" spans="1:45" ht="20.25" customHeight="1">
      <c r="A13" s="51" t="s">
        <v>36</v>
      </c>
      <c r="B13" s="46" t="s">
        <v>10</v>
      </c>
      <c r="C13" s="47" t="s">
        <v>10</v>
      </c>
      <c r="D13" s="161"/>
      <c r="E13" s="39" t="s">
        <v>9</v>
      </c>
      <c r="F13" s="39" t="s">
        <v>9</v>
      </c>
      <c r="G13" s="39" t="s">
        <v>9</v>
      </c>
      <c r="H13" s="39" t="s">
        <v>9</v>
      </c>
      <c r="I13" s="39" t="s">
        <v>10</v>
      </c>
      <c r="J13" s="48" t="s">
        <v>22</v>
      </c>
      <c r="K13" s="48" t="s">
        <v>22</v>
      </c>
      <c r="L13" s="69"/>
      <c r="M13" s="39" t="s">
        <v>25</v>
      </c>
      <c r="N13" s="39" t="s">
        <v>10</v>
      </c>
      <c r="O13" s="39" t="s">
        <v>9</v>
      </c>
      <c r="P13" s="39" t="s">
        <v>9</v>
      </c>
      <c r="Q13" s="39" t="s">
        <v>9</v>
      </c>
      <c r="R13" s="46" t="s">
        <v>10</v>
      </c>
      <c r="S13" s="47" t="s">
        <v>10</v>
      </c>
      <c r="T13" s="164"/>
      <c r="U13" s="48" t="s">
        <v>22</v>
      </c>
      <c r="V13" s="39" t="s">
        <v>9</v>
      </c>
      <c r="W13" s="39" t="s">
        <v>10</v>
      </c>
      <c r="X13" s="39" t="s">
        <v>9</v>
      </c>
      <c r="Y13" s="39" t="s">
        <v>9</v>
      </c>
      <c r="Z13" s="48" t="s">
        <v>21</v>
      </c>
      <c r="AA13" s="48" t="s">
        <v>21</v>
      </c>
      <c r="AB13" s="164"/>
      <c r="AC13" s="39" t="s">
        <v>10</v>
      </c>
      <c r="AD13" s="39" t="s">
        <v>9</v>
      </c>
      <c r="AE13" s="39" t="s">
        <v>10</v>
      </c>
      <c r="AF13" s="39" t="s">
        <v>25</v>
      </c>
      <c r="AG13" s="39" t="s">
        <v>23</v>
      </c>
      <c r="AH13" s="46" t="s">
        <v>10</v>
      </c>
      <c r="AI13" s="47" t="s">
        <v>10</v>
      </c>
      <c r="AJ13" s="164"/>
      <c r="AK13" s="39" t="s">
        <v>9</v>
      </c>
      <c r="AL13" s="74" t="s">
        <v>7</v>
      </c>
      <c r="AM13" s="190"/>
      <c r="AN13" s="190"/>
      <c r="AO13" s="190"/>
      <c r="AP13" s="190"/>
      <c r="AQ13" s="190"/>
      <c r="AR13" s="14"/>
      <c r="AS13" s="14"/>
    </row>
    <row r="14" spans="1:45" s="13" customFormat="1" ht="19.5" customHeight="1">
      <c r="A14" s="51" t="s">
        <v>37</v>
      </c>
      <c r="B14" s="46" t="s">
        <v>10</v>
      </c>
      <c r="C14" s="47" t="s">
        <v>10</v>
      </c>
      <c r="D14" s="162"/>
      <c r="E14" s="39" t="s">
        <v>25</v>
      </c>
      <c r="F14" s="39" t="s">
        <v>25</v>
      </c>
      <c r="G14" s="39" t="s">
        <v>23</v>
      </c>
      <c r="H14" s="39" t="s">
        <v>25</v>
      </c>
      <c r="I14" s="39" t="s">
        <v>10</v>
      </c>
      <c r="J14" s="48" t="s">
        <v>21</v>
      </c>
      <c r="K14" s="48" t="s">
        <v>21</v>
      </c>
      <c r="L14" s="70"/>
      <c r="M14" s="39" t="s">
        <v>10</v>
      </c>
      <c r="N14" s="39" t="s">
        <v>9</v>
      </c>
      <c r="O14" s="39" t="s">
        <v>9</v>
      </c>
      <c r="P14" s="39" t="s">
        <v>9</v>
      </c>
      <c r="Q14" s="39" t="s">
        <v>25</v>
      </c>
      <c r="R14" s="46" t="s">
        <v>10</v>
      </c>
      <c r="S14" s="47" t="s">
        <v>10</v>
      </c>
      <c r="T14" s="165"/>
      <c r="U14" s="48" t="s">
        <v>21</v>
      </c>
      <c r="V14" s="39" t="s">
        <v>10</v>
      </c>
      <c r="W14" s="39" t="s">
        <v>9</v>
      </c>
      <c r="X14" s="39" t="s">
        <v>25</v>
      </c>
      <c r="Y14" s="39" t="s">
        <v>25</v>
      </c>
      <c r="Z14" s="48" t="s">
        <v>22</v>
      </c>
      <c r="AA14" s="48" t="s">
        <v>22</v>
      </c>
      <c r="AB14" s="165"/>
      <c r="AC14" s="39" t="s">
        <v>25</v>
      </c>
      <c r="AD14" s="39" t="s">
        <v>10</v>
      </c>
      <c r="AE14" s="39" t="s">
        <v>9</v>
      </c>
      <c r="AF14" s="39" t="s">
        <v>11</v>
      </c>
      <c r="AG14" s="39" t="s">
        <v>25</v>
      </c>
      <c r="AH14" s="46" t="s">
        <v>10</v>
      </c>
      <c r="AI14" s="47" t="s">
        <v>10</v>
      </c>
      <c r="AJ14" s="165"/>
      <c r="AK14" s="39" t="s">
        <v>11</v>
      </c>
      <c r="AL14" s="74" t="s">
        <v>7</v>
      </c>
      <c r="AM14" s="190"/>
      <c r="AN14" s="190"/>
      <c r="AO14" s="190"/>
      <c r="AP14" s="190"/>
      <c r="AQ14" s="190"/>
      <c r="AR14" s="19"/>
      <c r="AS14" s="19"/>
    </row>
    <row r="15" spans="1:45" s="13" customFormat="1" ht="19.5" customHeight="1">
      <c r="AM15" s="19"/>
      <c r="AN15" s="19"/>
      <c r="AO15" s="19"/>
      <c r="AP15" s="19"/>
      <c r="AQ15" s="19"/>
      <c r="AR15" s="19"/>
      <c r="AS15" s="19"/>
    </row>
    <row r="16" spans="1:45" ht="15.75">
      <c r="A16" s="151" t="s">
        <v>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20"/>
      <c r="AS16" s="20"/>
    </row>
    <row r="17" spans="1:45" ht="18.75" customHeight="1">
      <c r="A17" s="124" t="str">
        <f>+A9</f>
        <v>NOMBRE</v>
      </c>
      <c r="B17" s="43">
        <v>1</v>
      </c>
      <c r="C17" s="43">
        <v>2</v>
      </c>
      <c r="D17" s="155" t="s">
        <v>28</v>
      </c>
      <c r="E17" s="43">
        <v>3</v>
      </c>
      <c r="F17" s="43">
        <v>4</v>
      </c>
      <c r="G17" s="43">
        <v>5</v>
      </c>
      <c r="H17" s="43">
        <v>6</v>
      </c>
      <c r="I17" s="43">
        <v>7</v>
      </c>
      <c r="J17" s="43">
        <v>8</v>
      </c>
      <c r="K17" s="43">
        <v>9</v>
      </c>
      <c r="L17" s="155" t="s">
        <v>28</v>
      </c>
      <c r="M17" s="43">
        <v>10</v>
      </c>
      <c r="N17" s="43">
        <v>11</v>
      </c>
      <c r="O17" s="43">
        <v>12</v>
      </c>
      <c r="P17" s="43">
        <v>13</v>
      </c>
      <c r="Q17" s="43">
        <v>14</v>
      </c>
      <c r="R17" s="43">
        <v>15</v>
      </c>
      <c r="S17" s="43">
        <v>16</v>
      </c>
      <c r="T17" s="155" t="s">
        <v>28</v>
      </c>
      <c r="U17" s="43">
        <v>17</v>
      </c>
      <c r="V17" s="43">
        <v>18</v>
      </c>
      <c r="W17" s="43">
        <v>19</v>
      </c>
      <c r="X17" s="43">
        <v>20</v>
      </c>
      <c r="Y17" s="43">
        <v>21</v>
      </c>
      <c r="Z17" s="43">
        <v>22</v>
      </c>
      <c r="AA17" s="43">
        <v>23</v>
      </c>
      <c r="AB17" s="155" t="s">
        <v>28</v>
      </c>
      <c r="AC17" s="43">
        <v>24</v>
      </c>
      <c r="AD17" s="43">
        <v>25</v>
      </c>
      <c r="AE17" s="43">
        <v>26</v>
      </c>
      <c r="AF17" s="43">
        <v>27</v>
      </c>
      <c r="AG17" s="43">
        <v>28</v>
      </c>
      <c r="AH17" s="43">
        <v>29</v>
      </c>
      <c r="AI17" s="43">
        <v>30</v>
      </c>
      <c r="AJ17" s="157"/>
      <c r="AK17" s="65">
        <v>31</v>
      </c>
      <c r="AL17" s="187"/>
      <c r="AM17" s="153"/>
      <c r="AN17" s="72"/>
      <c r="AO17" s="188" t="s">
        <v>8</v>
      </c>
      <c r="AP17" s="188"/>
      <c r="AQ17" s="188"/>
      <c r="AR17" s="14"/>
      <c r="AS17" s="14"/>
    </row>
    <row r="18" spans="1:45" ht="17.25" customHeight="1">
      <c r="A18" s="125"/>
      <c r="B18" s="45" t="s">
        <v>14</v>
      </c>
      <c r="C18" s="44" t="s">
        <v>9</v>
      </c>
      <c r="D18" s="156"/>
      <c r="E18" s="44" t="s">
        <v>10</v>
      </c>
      <c r="F18" s="43" t="s">
        <v>11</v>
      </c>
      <c r="G18" s="43" t="s">
        <v>11</v>
      </c>
      <c r="H18" s="43" t="s">
        <v>12</v>
      </c>
      <c r="I18" s="43" t="s">
        <v>13</v>
      </c>
      <c r="J18" s="43" t="s">
        <v>14</v>
      </c>
      <c r="K18" s="43" t="s">
        <v>9</v>
      </c>
      <c r="L18" s="156"/>
      <c r="M18" s="44" t="s">
        <v>10</v>
      </c>
      <c r="N18" s="43" t="s">
        <v>11</v>
      </c>
      <c r="O18" s="43" t="s">
        <v>11</v>
      </c>
      <c r="P18" s="43" t="s">
        <v>12</v>
      </c>
      <c r="Q18" s="43" t="s">
        <v>13</v>
      </c>
      <c r="R18" s="43" t="s">
        <v>14</v>
      </c>
      <c r="S18" s="43" t="s">
        <v>9</v>
      </c>
      <c r="T18" s="156"/>
      <c r="U18" s="44" t="s">
        <v>10</v>
      </c>
      <c r="V18" s="43" t="s">
        <v>11</v>
      </c>
      <c r="W18" s="43" t="s">
        <v>11</v>
      </c>
      <c r="X18" s="43" t="s">
        <v>12</v>
      </c>
      <c r="Y18" s="43" t="s">
        <v>13</v>
      </c>
      <c r="Z18" s="43" t="s">
        <v>14</v>
      </c>
      <c r="AA18" s="43" t="s">
        <v>9</v>
      </c>
      <c r="AB18" s="156"/>
      <c r="AC18" s="44" t="s">
        <v>10</v>
      </c>
      <c r="AD18" s="43" t="s">
        <v>11</v>
      </c>
      <c r="AE18" s="43" t="s">
        <v>11</v>
      </c>
      <c r="AF18" s="43" t="s">
        <v>12</v>
      </c>
      <c r="AG18" s="43" t="s">
        <v>13</v>
      </c>
      <c r="AH18" s="43" t="s">
        <v>14</v>
      </c>
      <c r="AI18" s="43" t="s">
        <v>9</v>
      </c>
      <c r="AJ18" s="158"/>
      <c r="AK18" s="66" t="s">
        <v>10</v>
      </c>
      <c r="AL18" s="145"/>
      <c r="AM18" s="153"/>
      <c r="AN18" s="73"/>
      <c r="AO18" s="169"/>
      <c r="AP18" s="169"/>
      <c r="AQ18" s="169"/>
      <c r="AR18" s="14"/>
      <c r="AS18" s="14"/>
    </row>
    <row r="19" spans="1:45" ht="16.5" customHeight="1">
      <c r="A19" s="21" t="str">
        <f>A11</f>
        <v>AMPARO JAIMES RUEDA</v>
      </c>
      <c r="B19" s="64">
        <f t="shared" ref="B19:F19" si="0">VLOOKUP(B11,$B$30:$R$37,14,0)</f>
        <v>7</v>
      </c>
      <c r="C19" s="64">
        <f t="shared" si="0"/>
        <v>7</v>
      </c>
      <c r="D19" s="22">
        <f>SUM(B19:C19)</f>
        <v>14</v>
      </c>
      <c r="E19" s="64">
        <f t="shared" si="0"/>
        <v>6.5</v>
      </c>
      <c r="F19" s="64">
        <f t="shared" si="0"/>
        <v>0</v>
      </c>
      <c r="G19" s="64">
        <f t="shared" ref="G19" si="1">VLOOKUP(G11,$B$30:$R$37,14,0)</f>
        <v>9</v>
      </c>
      <c r="H19" s="64">
        <f t="shared" ref="H19:K19" si="2">VLOOKUP(H11,$B$30:$R$37,14,0)</f>
        <v>9</v>
      </c>
      <c r="I19" s="64">
        <f t="shared" si="2"/>
        <v>7</v>
      </c>
      <c r="J19" s="64">
        <f t="shared" si="2"/>
        <v>0</v>
      </c>
      <c r="K19" s="64">
        <f t="shared" si="2"/>
        <v>0</v>
      </c>
      <c r="L19" s="22">
        <f>SUM(E19:K19)</f>
        <v>31.5</v>
      </c>
      <c r="M19" s="64">
        <f t="shared" ref="M19:S19" si="3">VLOOKUP(M11,$B$30:$R$37,14,0)</f>
        <v>9</v>
      </c>
      <c r="N19" s="64">
        <f t="shared" si="3"/>
        <v>8</v>
      </c>
      <c r="O19" s="64">
        <f t="shared" si="3"/>
        <v>0</v>
      </c>
      <c r="P19" s="64">
        <f t="shared" si="3"/>
        <v>8</v>
      </c>
      <c r="Q19" s="64">
        <f t="shared" si="3"/>
        <v>6.5</v>
      </c>
      <c r="R19" s="64">
        <f t="shared" si="3"/>
        <v>9</v>
      </c>
      <c r="S19" s="64">
        <f t="shared" si="3"/>
        <v>9</v>
      </c>
      <c r="T19" s="22">
        <f>SUM(M19:S19)</f>
        <v>49.5</v>
      </c>
      <c r="U19" s="64">
        <f t="shared" ref="U19:AA19" si="4">VLOOKUP(U11,$B$30:$R$37,14,0)</f>
        <v>0</v>
      </c>
      <c r="V19" s="64">
        <f t="shared" si="4"/>
        <v>8</v>
      </c>
      <c r="W19" s="64">
        <f t="shared" si="4"/>
        <v>0</v>
      </c>
      <c r="X19" s="64">
        <f t="shared" si="4"/>
        <v>8</v>
      </c>
      <c r="Y19" s="64">
        <f t="shared" si="4"/>
        <v>8</v>
      </c>
      <c r="Z19" s="64">
        <f t="shared" si="4"/>
        <v>0</v>
      </c>
      <c r="AA19" s="64">
        <f t="shared" si="4"/>
        <v>0</v>
      </c>
      <c r="AB19" s="22">
        <f>SUM(U19:AA19)</f>
        <v>24</v>
      </c>
      <c r="AC19" s="64">
        <f t="shared" ref="AC19:AI19" si="5">VLOOKUP(AC11,$B$30:$R$37,14,0)</f>
        <v>9</v>
      </c>
      <c r="AD19" s="64">
        <f t="shared" si="5"/>
        <v>9</v>
      </c>
      <c r="AE19" s="64">
        <f t="shared" si="5"/>
        <v>0</v>
      </c>
      <c r="AF19" s="64">
        <f t="shared" si="5"/>
        <v>9</v>
      </c>
      <c r="AG19" s="64">
        <f t="shared" si="5"/>
        <v>0</v>
      </c>
      <c r="AH19" s="64">
        <f t="shared" si="5"/>
        <v>7</v>
      </c>
      <c r="AI19" s="64">
        <f t="shared" si="5"/>
        <v>7</v>
      </c>
      <c r="AJ19" s="22">
        <f>SUM(AC19:AI19)</f>
        <v>41</v>
      </c>
      <c r="AK19" s="64">
        <f t="shared" ref="AK19" si="6">VLOOKUP(AK11,$B$30:$R$37,14,0)</f>
        <v>8</v>
      </c>
      <c r="AL19" s="64">
        <f>VLOOKUP(AL11,$B$28:$R$37,14,0)</f>
        <v>1</v>
      </c>
      <c r="AM19" s="81">
        <f>SUM(AK19:AL19)</f>
        <v>9</v>
      </c>
      <c r="AN19" s="68"/>
      <c r="AO19" s="172">
        <f>SUM(D19+L19+T19+AB19+AJ19+AM19)</f>
        <v>169</v>
      </c>
      <c r="AP19" s="172"/>
      <c r="AQ19" s="172"/>
      <c r="AR19" s="20"/>
      <c r="AS19" s="20"/>
    </row>
    <row r="20" spans="1:45" ht="16.5" customHeight="1">
      <c r="A20" s="21" t="str">
        <f t="shared" ref="A20:A22" si="7">A12</f>
        <v>KAROLAY DIAZ</v>
      </c>
      <c r="B20" s="64">
        <f t="shared" ref="B20:G20" si="8">VLOOKUP(B12,$B$30:$R$37,14,0)</f>
        <v>9</v>
      </c>
      <c r="C20" s="64">
        <f t="shared" si="8"/>
        <v>9</v>
      </c>
      <c r="D20" s="22">
        <f>SUM(B20:C20)</f>
        <v>18</v>
      </c>
      <c r="E20" s="64">
        <f t="shared" si="8"/>
        <v>0</v>
      </c>
      <c r="F20" s="64">
        <f t="shared" si="8"/>
        <v>6.5</v>
      </c>
      <c r="G20" s="64">
        <f t="shared" si="8"/>
        <v>8</v>
      </c>
      <c r="H20" s="64">
        <f t="shared" ref="H20:K20" si="9">VLOOKUP(H12,$B$30:$R$37,14,0)</f>
        <v>0</v>
      </c>
      <c r="I20" s="64">
        <f t="shared" si="9"/>
        <v>9</v>
      </c>
      <c r="J20" s="64">
        <f t="shared" si="9"/>
        <v>0</v>
      </c>
      <c r="K20" s="64">
        <f t="shared" si="9"/>
        <v>0</v>
      </c>
      <c r="L20" s="22">
        <f t="shared" ref="L20:L22" si="10">SUM(E20:K20)</f>
        <v>23.5</v>
      </c>
      <c r="M20" s="64">
        <f t="shared" ref="M20:S20" si="11">VLOOKUP(M12,$B$30:$R$37,14,0)</f>
        <v>9</v>
      </c>
      <c r="N20" s="64">
        <f t="shared" si="11"/>
        <v>9</v>
      </c>
      <c r="O20" s="64">
        <f t="shared" si="11"/>
        <v>8</v>
      </c>
      <c r="P20" s="64">
        <f t="shared" si="11"/>
        <v>0</v>
      </c>
      <c r="Q20" s="64">
        <f t="shared" si="11"/>
        <v>6.5</v>
      </c>
      <c r="R20" s="64">
        <f t="shared" si="11"/>
        <v>7</v>
      </c>
      <c r="S20" s="64">
        <f t="shared" si="11"/>
        <v>7</v>
      </c>
      <c r="T20" s="22">
        <f t="shared" ref="T20:T22" si="12">SUM(M20:S20)</f>
        <v>46.5</v>
      </c>
      <c r="U20" s="64">
        <f t="shared" ref="U20:AA20" si="13">VLOOKUP(U12,$B$30:$R$37,14,0)</f>
        <v>0</v>
      </c>
      <c r="V20" s="64">
        <f t="shared" si="13"/>
        <v>6.5</v>
      </c>
      <c r="W20" s="64">
        <f t="shared" si="13"/>
        <v>9</v>
      </c>
      <c r="X20" s="64">
        <f t="shared" si="13"/>
        <v>6.5</v>
      </c>
      <c r="Y20" s="64">
        <f t="shared" si="13"/>
        <v>6.5</v>
      </c>
      <c r="Z20" s="64">
        <f t="shared" si="13"/>
        <v>0</v>
      </c>
      <c r="AA20" s="64">
        <f t="shared" si="13"/>
        <v>0</v>
      </c>
      <c r="AB20" s="22">
        <f t="shared" ref="AB20:AB22" si="14">SUM(U20:AA20)</f>
        <v>28.5</v>
      </c>
      <c r="AC20" s="64">
        <f t="shared" ref="AC20:AI20" si="15">VLOOKUP(AC12,$B$30:$R$37,14,0)</f>
        <v>9</v>
      </c>
      <c r="AD20" s="64">
        <f t="shared" si="15"/>
        <v>8</v>
      </c>
      <c r="AE20" s="64">
        <f t="shared" si="15"/>
        <v>8</v>
      </c>
      <c r="AF20" s="64">
        <f t="shared" si="15"/>
        <v>0</v>
      </c>
      <c r="AG20" s="64">
        <f t="shared" si="15"/>
        <v>9</v>
      </c>
      <c r="AH20" s="64">
        <f t="shared" si="15"/>
        <v>9</v>
      </c>
      <c r="AI20" s="64">
        <f t="shared" si="15"/>
        <v>9</v>
      </c>
      <c r="AJ20" s="22">
        <f t="shared" ref="AJ20:AJ22" si="16">SUM(AC20:AI20)</f>
        <v>52</v>
      </c>
      <c r="AK20" s="64">
        <f t="shared" ref="AK20" si="17">VLOOKUP(AK12,$B$30:$R$37,14,0)</f>
        <v>0</v>
      </c>
      <c r="AL20" s="64">
        <f t="shared" ref="AL20:AL22" si="18">VLOOKUP(AL12,$B$28:$R$37,14,0)</f>
        <v>1</v>
      </c>
      <c r="AM20" s="81">
        <f t="shared" ref="AM20:AM22" si="19">SUM(AK20:AL20)</f>
        <v>1</v>
      </c>
      <c r="AN20" s="68"/>
      <c r="AO20" s="172">
        <f t="shared" ref="AO20:AO22" si="20">SUM(D20+L20+T20+AB20+AJ20+AM20)</f>
        <v>169.5</v>
      </c>
      <c r="AP20" s="172"/>
      <c r="AQ20" s="172"/>
      <c r="AR20" s="20"/>
      <c r="AS20" s="20"/>
    </row>
    <row r="21" spans="1:45" s="38" customFormat="1" ht="16.5" customHeight="1">
      <c r="A21" s="21" t="str">
        <f t="shared" si="7"/>
        <v>LUCY CRUZ</v>
      </c>
      <c r="B21" s="64">
        <f t="shared" ref="B21:G21" si="21">VLOOKUP(B13,$B$30:$R$37,14,0)</f>
        <v>0</v>
      </c>
      <c r="C21" s="64">
        <f t="shared" si="21"/>
        <v>0</v>
      </c>
      <c r="D21" s="22">
        <f>SUM(B21:C21)</f>
        <v>0</v>
      </c>
      <c r="E21" s="64">
        <f t="shared" si="21"/>
        <v>9</v>
      </c>
      <c r="F21" s="64">
        <f t="shared" si="21"/>
        <v>9</v>
      </c>
      <c r="G21" s="64">
        <f t="shared" si="21"/>
        <v>9</v>
      </c>
      <c r="H21" s="64">
        <f t="shared" ref="H21:K21" si="22">VLOOKUP(H13,$B$30:$R$37,14,0)</f>
        <v>9</v>
      </c>
      <c r="I21" s="64">
        <f t="shared" si="22"/>
        <v>0</v>
      </c>
      <c r="J21" s="64">
        <f t="shared" si="22"/>
        <v>7</v>
      </c>
      <c r="K21" s="64">
        <f t="shared" si="22"/>
        <v>7</v>
      </c>
      <c r="L21" s="22">
        <f t="shared" si="10"/>
        <v>50</v>
      </c>
      <c r="M21" s="64">
        <f t="shared" ref="M21:S21" si="23">VLOOKUP(M13,$B$30:$R$37,14,0)</f>
        <v>8</v>
      </c>
      <c r="N21" s="64">
        <f t="shared" si="23"/>
        <v>0</v>
      </c>
      <c r="O21" s="64">
        <f t="shared" si="23"/>
        <v>9</v>
      </c>
      <c r="P21" s="64">
        <f t="shared" si="23"/>
        <v>9</v>
      </c>
      <c r="Q21" s="64">
        <f t="shared" si="23"/>
        <v>9</v>
      </c>
      <c r="R21" s="64">
        <f t="shared" si="23"/>
        <v>0</v>
      </c>
      <c r="S21" s="64">
        <f t="shared" si="23"/>
        <v>0</v>
      </c>
      <c r="T21" s="22">
        <f t="shared" si="12"/>
        <v>35</v>
      </c>
      <c r="U21" s="64">
        <f t="shared" ref="U21:AA21" si="24">VLOOKUP(U13,$B$30:$R$37,14,0)</f>
        <v>7</v>
      </c>
      <c r="V21" s="64">
        <f t="shared" si="24"/>
        <v>9</v>
      </c>
      <c r="W21" s="64">
        <f t="shared" si="24"/>
        <v>0</v>
      </c>
      <c r="X21" s="64">
        <f t="shared" si="24"/>
        <v>9</v>
      </c>
      <c r="Y21" s="64">
        <f t="shared" si="24"/>
        <v>9</v>
      </c>
      <c r="Z21" s="64">
        <f t="shared" si="24"/>
        <v>9</v>
      </c>
      <c r="AA21" s="64">
        <f t="shared" si="24"/>
        <v>9</v>
      </c>
      <c r="AB21" s="22">
        <f t="shared" si="14"/>
        <v>52</v>
      </c>
      <c r="AC21" s="64">
        <f t="shared" ref="AC21:AI21" si="25">VLOOKUP(AC13,$B$30:$R$37,14,0)</f>
        <v>0</v>
      </c>
      <c r="AD21" s="64">
        <f t="shared" si="25"/>
        <v>9</v>
      </c>
      <c r="AE21" s="64">
        <f t="shared" si="25"/>
        <v>0</v>
      </c>
      <c r="AF21" s="64">
        <f t="shared" si="25"/>
        <v>8</v>
      </c>
      <c r="AG21" s="64">
        <f t="shared" si="25"/>
        <v>6</v>
      </c>
      <c r="AH21" s="64">
        <f t="shared" si="25"/>
        <v>0</v>
      </c>
      <c r="AI21" s="64">
        <f t="shared" si="25"/>
        <v>0</v>
      </c>
      <c r="AJ21" s="22">
        <f t="shared" si="16"/>
        <v>23</v>
      </c>
      <c r="AK21" s="64">
        <f t="shared" ref="AK21" si="26">VLOOKUP(AK13,$B$30:$R$37,14,0)</f>
        <v>9</v>
      </c>
      <c r="AL21" s="64">
        <f t="shared" si="18"/>
        <v>1</v>
      </c>
      <c r="AM21" s="81">
        <f t="shared" si="19"/>
        <v>10</v>
      </c>
      <c r="AN21" s="68"/>
      <c r="AO21" s="172">
        <f t="shared" si="20"/>
        <v>170</v>
      </c>
      <c r="AP21" s="172"/>
      <c r="AQ21" s="172"/>
      <c r="AR21" s="37"/>
      <c r="AS21" s="37"/>
    </row>
    <row r="22" spans="1:45" ht="16.5" customHeight="1">
      <c r="A22" s="21" t="str">
        <f t="shared" si="7"/>
        <v>MILDREY RANGEL</v>
      </c>
      <c r="B22" s="64">
        <f t="shared" ref="B22:G22" si="27">VLOOKUP(B14,$B$30:$R$37,14,0)</f>
        <v>0</v>
      </c>
      <c r="C22" s="64">
        <f t="shared" si="27"/>
        <v>0</v>
      </c>
      <c r="D22" s="22">
        <f>SUM(B22:C22)</f>
        <v>0</v>
      </c>
      <c r="E22" s="64">
        <f t="shared" si="27"/>
        <v>8</v>
      </c>
      <c r="F22" s="64">
        <f t="shared" si="27"/>
        <v>8</v>
      </c>
      <c r="G22" s="64">
        <f t="shared" si="27"/>
        <v>6</v>
      </c>
      <c r="H22" s="64">
        <f t="shared" ref="H22:K22" si="28">VLOOKUP(H14,$B$30:$R$37,14,0)</f>
        <v>8</v>
      </c>
      <c r="I22" s="64">
        <f t="shared" si="28"/>
        <v>0</v>
      </c>
      <c r="J22" s="64">
        <f t="shared" si="28"/>
        <v>9</v>
      </c>
      <c r="K22" s="64">
        <f t="shared" si="28"/>
        <v>9</v>
      </c>
      <c r="L22" s="22">
        <f t="shared" si="10"/>
        <v>48</v>
      </c>
      <c r="M22" s="64">
        <f t="shared" ref="M22:S22" si="29">VLOOKUP(M14,$B$30:$R$37,14,0)</f>
        <v>0</v>
      </c>
      <c r="N22" s="64">
        <f t="shared" si="29"/>
        <v>9</v>
      </c>
      <c r="O22" s="64">
        <f t="shared" si="29"/>
        <v>9</v>
      </c>
      <c r="P22" s="64">
        <f t="shared" si="29"/>
        <v>9</v>
      </c>
      <c r="Q22" s="64">
        <f t="shared" si="29"/>
        <v>8</v>
      </c>
      <c r="R22" s="64">
        <f t="shared" si="29"/>
        <v>0</v>
      </c>
      <c r="S22" s="64">
        <f t="shared" si="29"/>
        <v>0</v>
      </c>
      <c r="T22" s="22">
        <f t="shared" si="12"/>
        <v>35</v>
      </c>
      <c r="U22" s="64">
        <f t="shared" ref="U22:AA22" si="30">VLOOKUP(U14,$B$30:$R$37,14,0)</f>
        <v>9</v>
      </c>
      <c r="V22" s="64">
        <f t="shared" si="30"/>
        <v>0</v>
      </c>
      <c r="W22" s="64">
        <f t="shared" si="30"/>
        <v>9</v>
      </c>
      <c r="X22" s="64">
        <f t="shared" si="30"/>
        <v>8</v>
      </c>
      <c r="Y22" s="64">
        <f t="shared" si="30"/>
        <v>8</v>
      </c>
      <c r="Z22" s="64">
        <f t="shared" si="30"/>
        <v>7</v>
      </c>
      <c r="AA22" s="64">
        <f t="shared" si="30"/>
        <v>7</v>
      </c>
      <c r="AB22" s="22">
        <f t="shared" si="14"/>
        <v>48</v>
      </c>
      <c r="AC22" s="64">
        <f t="shared" ref="AC22:AI22" si="31">VLOOKUP(AC14,$B$30:$R$37,14,0)</f>
        <v>8</v>
      </c>
      <c r="AD22" s="64">
        <f t="shared" si="31"/>
        <v>0</v>
      </c>
      <c r="AE22" s="64">
        <f t="shared" si="31"/>
        <v>9</v>
      </c>
      <c r="AF22" s="64">
        <f t="shared" si="31"/>
        <v>6.5</v>
      </c>
      <c r="AG22" s="64">
        <f t="shared" si="31"/>
        <v>8</v>
      </c>
      <c r="AH22" s="64">
        <f t="shared" si="31"/>
        <v>0</v>
      </c>
      <c r="AI22" s="64">
        <f t="shared" si="31"/>
        <v>0</v>
      </c>
      <c r="AJ22" s="22">
        <f t="shared" si="16"/>
        <v>31.5</v>
      </c>
      <c r="AK22" s="64">
        <f t="shared" ref="AK22" si="32">VLOOKUP(AK14,$B$30:$R$37,14,0)</f>
        <v>6.5</v>
      </c>
      <c r="AL22" s="64">
        <f t="shared" si="18"/>
        <v>1</v>
      </c>
      <c r="AM22" s="81">
        <f t="shared" si="19"/>
        <v>7.5</v>
      </c>
      <c r="AN22" s="68"/>
      <c r="AO22" s="172">
        <f t="shared" si="20"/>
        <v>170</v>
      </c>
      <c r="AP22" s="172"/>
      <c r="AQ22" s="172"/>
      <c r="AR22" s="20"/>
      <c r="AS22" s="20"/>
    </row>
    <row r="23" spans="1:45" ht="23.1" customHeight="1">
      <c r="A23" s="21" t="s">
        <v>19</v>
      </c>
      <c r="B23" s="22">
        <f t="shared" ref="B23:F23" si="33">SUM(B19:B22)</f>
        <v>16</v>
      </c>
      <c r="C23" s="22">
        <f t="shared" si="33"/>
        <v>16</v>
      </c>
      <c r="D23" s="22">
        <f t="shared" si="33"/>
        <v>32</v>
      </c>
      <c r="E23" s="22">
        <f t="shared" si="33"/>
        <v>23.5</v>
      </c>
      <c r="F23" s="22">
        <f t="shared" si="33"/>
        <v>23.5</v>
      </c>
      <c r="G23" s="23"/>
      <c r="H23" s="22">
        <f>SUM(H19:H22)</f>
        <v>26</v>
      </c>
      <c r="I23" s="22">
        <f>SUM(I19:I22)</f>
        <v>16</v>
      </c>
      <c r="J23" s="22">
        <f>SUM(J19:J22)</f>
        <v>16</v>
      </c>
      <c r="K23" s="22">
        <f t="shared" ref="K23" si="34">SUM(K19:K22)</f>
        <v>16</v>
      </c>
      <c r="L23" s="22">
        <f>SUM(L19:L22)</f>
        <v>153</v>
      </c>
      <c r="M23" s="22">
        <f>SUM(M19:M22)</f>
        <v>26</v>
      </c>
      <c r="N23" s="22">
        <f>SUM(N19:N22)</f>
        <v>26</v>
      </c>
      <c r="O23" s="23"/>
      <c r="P23" s="22">
        <f>SUM(P19:P22)</f>
        <v>26</v>
      </c>
      <c r="Q23" s="22">
        <f>SUM(Q19:Q22)</f>
        <v>30</v>
      </c>
      <c r="R23" s="22">
        <f>SUM(R19:R22)</f>
        <v>16</v>
      </c>
      <c r="S23" s="22">
        <f t="shared" ref="S23" si="35">SUM(S19:S22)</f>
        <v>16</v>
      </c>
      <c r="T23" s="22">
        <f t="shared" ref="T23" si="36">SUM(T19:T22)</f>
        <v>166</v>
      </c>
      <c r="U23" s="22">
        <f t="shared" ref="U23" si="37">SUM(U19:U22)</f>
        <v>16</v>
      </c>
      <c r="V23" s="22">
        <f t="shared" ref="V23" si="38">SUM(V19:V22)</f>
        <v>23.5</v>
      </c>
      <c r="W23" s="23"/>
      <c r="X23" s="22">
        <f>SUM(X19:X22)</f>
        <v>31.5</v>
      </c>
      <c r="Y23" s="22">
        <f>SUM(Y19:Y22)</f>
        <v>31.5</v>
      </c>
      <c r="Z23" s="22">
        <f>SUM(Z19:Z22)</f>
        <v>16</v>
      </c>
      <c r="AA23" s="22">
        <f t="shared" ref="AA23" si="39">SUM(AA19:AA22)</f>
        <v>16</v>
      </c>
      <c r="AB23" s="22">
        <f t="shared" ref="AB23" si="40">SUM(AB19:AB22)</f>
        <v>152.5</v>
      </c>
      <c r="AC23" s="22">
        <f t="shared" ref="AC23" si="41">SUM(AC19:AC22)</f>
        <v>26</v>
      </c>
      <c r="AD23" s="22">
        <f t="shared" ref="AD23" si="42">SUM(AD19:AD22)</f>
        <v>26</v>
      </c>
      <c r="AE23" s="23"/>
      <c r="AF23" s="22">
        <f>SUM(AF19:AF22)</f>
        <v>23.5</v>
      </c>
      <c r="AG23" s="22">
        <f>SUM(AG19:AG22)</f>
        <v>23</v>
      </c>
      <c r="AH23" s="22">
        <f>SUM(AH19:AH22)</f>
        <v>16</v>
      </c>
      <c r="AI23" s="22">
        <f t="shared" ref="AI23" si="43">SUM(AI19:AI22)</f>
        <v>16</v>
      </c>
      <c r="AJ23" s="22">
        <f t="shared" ref="AJ23:AK23" si="44">SUM(AJ19:AJ22)</f>
        <v>147.5</v>
      </c>
      <c r="AK23" s="22">
        <f t="shared" si="44"/>
        <v>23.5</v>
      </c>
      <c r="AL23" s="64">
        <f>SUM(AL19:AL22)</f>
        <v>4</v>
      </c>
      <c r="AM23" s="67"/>
      <c r="AN23" s="68"/>
      <c r="AO23" s="172">
        <f>SUM(AO19:AQ22)</f>
        <v>678.5</v>
      </c>
      <c r="AP23" s="172"/>
      <c r="AQ23" s="172">
        <f>SUM(AQ19:AS22)</f>
        <v>0</v>
      </c>
      <c r="AR23" s="20"/>
      <c r="AS23" s="20"/>
    </row>
    <row r="24" spans="1:45" ht="15.75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2"/>
      <c r="AM24" s="20"/>
      <c r="AN24" s="20"/>
      <c r="AO24" s="20"/>
      <c r="AP24" s="20"/>
      <c r="AQ24" s="20"/>
      <c r="AR24" s="20"/>
      <c r="AS24" s="20"/>
    </row>
    <row r="25" spans="1:45" ht="1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32"/>
      <c r="AM25" s="20"/>
      <c r="AN25" s="20"/>
      <c r="AO25" s="20"/>
      <c r="AP25" s="20"/>
      <c r="AQ25" s="20"/>
      <c r="AR25" s="20"/>
      <c r="AS25" s="20"/>
    </row>
    <row r="26" spans="1:45" ht="25.5" customHeight="1">
      <c r="A26" s="24"/>
      <c r="B26" s="8" t="s">
        <v>44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25"/>
      <c r="T26" s="63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32"/>
      <c r="AM26" s="20"/>
      <c r="AN26" s="20"/>
      <c r="AO26" s="20"/>
      <c r="AP26" s="20"/>
      <c r="AQ26" s="20"/>
      <c r="AR26" s="20"/>
      <c r="AS26" s="20"/>
    </row>
    <row r="27" spans="1:45" ht="15.75" customHeight="1" thickBot="1">
      <c r="A27" s="26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2"/>
      <c r="AK27" s="12"/>
      <c r="AL27" s="6"/>
      <c r="AM27" s="6"/>
      <c r="AN27" s="6"/>
      <c r="AO27" s="6"/>
      <c r="AP27" s="6"/>
      <c r="AQ27" s="6"/>
      <c r="AR27" s="6"/>
      <c r="AS27" s="6"/>
    </row>
    <row r="28" spans="1:45" ht="15.75" customHeight="1" thickBot="1">
      <c r="A28" s="20"/>
      <c r="B28" s="92" t="s">
        <v>50</v>
      </c>
      <c r="C28" s="93"/>
      <c r="D28" s="93"/>
      <c r="E28" s="93"/>
      <c r="F28" s="94"/>
      <c r="G28" s="94"/>
      <c r="H28" s="94"/>
      <c r="I28" s="94"/>
      <c r="J28" s="94"/>
      <c r="K28" s="94"/>
      <c r="L28" s="94"/>
      <c r="M28" s="93"/>
      <c r="N28" s="93"/>
      <c r="O28" s="93"/>
      <c r="P28" s="93"/>
      <c r="Q28" s="93"/>
      <c r="R28" s="95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2"/>
      <c r="AK28" s="12"/>
      <c r="AL28" s="6"/>
      <c r="AM28" s="6"/>
      <c r="AN28" s="6"/>
      <c r="AO28" s="6"/>
      <c r="AP28" s="6"/>
      <c r="AQ28" s="6"/>
      <c r="AR28" s="6"/>
      <c r="AS28" s="6"/>
    </row>
    <row r="29" spans="1:45" ht="16.5" customHeight="1" thickBot="1">
      <c r="A29" s="6"/>
      <c r="B29" s="96" t="s">
        <v>46</v>
      </c>
      <c r="C29" s="105"/>
      <c r="D29" s="105"/>
      <c r="E29" s="91"/>
      <c r="F29" s="106" t="s">
        <v>45</v>
      </c>
      <c r="G29" s="106"/>
      <c r="H29" s="107"/>
      <c r="I29" s="108" t="s">
        <v>47</v>
      </c>
      <c r="J29" s="109"/>
      <c r="K29" s="88" t="s">
        <v>48</v>
      </c>
      <c r="L29" s="89"/>
      <c r="M29" s="90" t="s">
        <v>49</v>
      </c>
      <c r="N29" s="91"/>
      <c r="O29" s="96" t="s">
        <v>15</v>
      </c>
      <c r="P29" s="97"/>
      <c r="Q29" s="97"/>
      <c r="R29" s="98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12"/>
      <c r="AK29" s="12"/>
      <c r="AL29" s="6"/>
      <c r="AM29" s="6"/>
      <c r="AN29" s="6"/>
      <c r="AO29" s="14"/>
      <c r="AP29" s="14"/>
      <c r="AQ29" s="14"/>
      <c r="AR29" s="33"/>
      <c r="AS29" s="34"/>
    </row>
    <row r="30" spans="1:45" ht="15.75">
      <c r="A30" s="6"/>
      <c r="B30" s="58" t="s">
        <v>9</v>
      </c>
      <c r="C30" s="102" t="s">
        <v>16</v>
      </c>
      <c r="D30" s="103"/>
      <c r="E30" s="104"/>
      <c r="F30" s="134">
        <v>0.25</v>
      </c>
      <c r="G30" s="134"/>
      <c r="H30" s="135"/>
      <c r="I30" s="136">
        <v>0.5</v>
      </c>
      <c r="J30" s="137"/>
      <c r="K30" s="141">
        <v>0.54166666666666696</v>
      </c>
      <c r="L30" s="135"/>
      <c r="M30" s="141">
        <v>0.66666666666666696</v>
      </c>
      <c r="N30" s="135"/>
      <c r="O30" s="138">
        <v>9</v>
      </c>
      <c r="P30" s="139"/>
      <c r="Q30" s="139"/>
      <c r="R30" s="140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2"/>
      <c r="AK30" s="12"/>
      <c r="AL30" s="6"/>
      <c r="AM30" s="6"/>
      <c r="AN30" s="6"/>
      <c r="AO30" s="14"/>
      <c r="AP30" s="14"/>
      <c r="AQ30" s="14"/>
      <c r="AR30" s="33"/>
      <c r="AS30" s="34"/>
    </row>
    <row r="31" spans="1:45" ht="18" customHeight="1">
      <c r="A31" s="6"/>
      <c r="B31" s="59" t="s">
        <v>11</v>
      </c>
      <c r="C31" s="99" t="s">
        <v>41</v>
      </c>
      <c r="D31" s="100"/>
      <c r="E31" s="101"/>
      <c r="F31" s="87">
        <v>0.25</v>
      </c>
      <c r="G31" s="87"/>
      <c r="H31" s="86"/>
      <c r="I31" s="87">
        <v>0.54166666666666663</v>
      </c>
      <c r="J31" s="86"/>
      <c r="K31" s="41"/>
      <c r="L31" s="42"/>
      <c r="M31" s="41"/>
      <c r="N31" s="42"/>
      <c r="O31" s="116">
        <v>6.5</v>
      </c>
      <c r="P31" s="117"/>
      <c r="Q31" s="117"/>
      <c r="R31" s="118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12"/>
      <c r="AK31" s="12"/>
      <c r="AL31" s="6"/>
      <c r="AM31" s="6"/>
      <c r="AN31" s="6"/>
      <c r="AO31" s="14"/>
      <c r="AP31" s="14"/>
      <c r="AQ31" s="14"/>
      <c r="AR31" s="33"/>
      <c r="AS31" s="34"/>
    </row>
    <row r="32" spans="1:45" ht="15.75" customHeight="1">
      <c r="A32" s="6"/>
      <c r="B32" s="59" t="s">
        <v>23</v>
      </c>
      <c r="C32" s="99" t="s">
        <v>20</v>
      </c>
      <c r="D32" s="100"/>
      <c r="E32" s="101"/>
      <c r="F32" s="87">
        <v>0.58333333333333304</v>
      </c>
      <c r="G32" s="87"/>
      <c r="H32" s="86"/>
      <c r="I32" s="87">
        <v>0.83333333333333304</v>
      </c>
      <c r="J32" s="86"/>
      <c r="K32" s="41"/>
      <c r="L32" s="42"/>
      <c r="M32" s="41"/>
      <c r="N32" s="42"/>
      <c r="O32" s="116">
        <v>6</v>
      </c>
      <c r="P32" s="117"/>
      <c r="Q32" s="117"/>
      <c r="R32" s="118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12"/>
      <c r="AK32" s="12"/>
      <c r="AL32" s="6"/>
      <c r="AM32" s="6"/>
      <c r="AN32" s="6"/>
      <c r="AO32" s="14"/>
      <c r="AP32" s="14"/>
      <c r="AQ32" s="14"/>
      <c r="AR32" s="33"/>
      <c r="AS32" s="34"/>
    </row>
    <row r="33" spans="1:46" ht="16.5" customHeight="1">
      <c r="A33" s="6"/>
      <c r="B33" s="59" t="s">
        <v>25</v>
      </c>
      <c r="C33" s="99" t="s">
        <v>42</v>
      </c>
      <c r="D33" s="100"/>
      <c r="E33" s="101"/>
      <c r="F33" s="87">
        <v>0.66666666666666696</v>
      </c>
      <c r="G33" s="87"/>
      <c r="H33" s="86"/>
      <c r="I33" s="87">
        <v>0.5</v>
      </c>
      <c r="J33" s="86"/>
      <c r="K33" s="41"/>
      <c r="L33" s="42"/>
      <c r="M33" s="41"/>
      <c r="N33" s="42"/>
      <c r="O33" s="116">
        <v>8</v>
      </c>
      <c r="P33" s="117"/>
      <c r="Q33" s="117"/>
      <c r="R33" s="118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12"/>
      <c r="AK33" s="12"/>
      <c r="AL33" s="6"/>
      <c r="AM33" s="6"/>
      <c r="AN33" s="6"/>
      <c r="AO33" s="14"/>
      <c r="AP33" s="14"/>
      <c r="AQ33" s="14"/>
      <c r="AR33" s="33"/>
      <c r="AS33" s="34"/>
    </row>
    <row r="34" spans="1:46" ht="18" customHeight="1">
      <c r="A34" s="6"/>
      <c r="B34" s="59" t="s">
        <v>22</v>
      </c>
      <c r="C34" s="99" t="s">
        <v>26</v>
      </c>
      <c r="D34" s="100"/>
      <c r="E34" s="101"/>
      <c r="F34" s="87">
        <v>0.29166666666666702</v>
      </c>
      <c r="G34" s="87"/>
      <c r="H34" s="86"/>
      <c r="I34" s="87">
        <v>0.5</v>
      </c>
      <c r="J34" s="86"/>
      <c r="K34" s="85">
        <v>0.54166666666666696</v>
      </c>
      <c r="L34" s="86"/>
      <c r="M34" s="85">
        <v>0.625</v>
      </c>
      <c r="N34" s="86"/>
      <c r="O34" s="116">
        <v>7</v>
      </c>
      <c r="P34" s="117"/>
      <c r="Q34" s="117"/>
      <c r="R34" s="118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12"/>
      <c r="AK34" s="12"/>
      <c r="AL34" s="6"/>
      <c r="AM34" s="6"/>
      <c r="AN34" s="6"/>
      <c r="AO34" s="14"/>
      <c r="AP34" s="14"/>
      <c r="AQ34" s="14"/>
      <c r="AR34" s="33"/>
      <c r="AS34" s="34"/>
    </row>
    <row r="35" spans="1:46" ht="16.5" customHeight="1">
      <c r="A35" s="6"/>
      <c r="B35" s="59" t="s">
        <v>21</v>
      </c>
      <c r="C35" s="99" t="s">
        <v>26</v>
      </c>
      <c r="D35" s="100"/>
      <c r="E35" s="101"/>
      <c r="F35" s="87">
        <v>0.625</v>
      </c>
      <c r="G35" s="87"/>
      <c r="H35" s="86"/>
      <c r="I35" s="87">
        <v>0.5</v>
      </c>
      <c r="J35" s="86"/>
      <c r="K35" s="41"/>
      <c r="L35" s="42"/>
      <c r="M35" s="41"/>
      <c r="N35" s="42"/>
      <c r="O35" s="116">
        <v>9</v>
      </c>
      <c r="P35" s="117"/>
      <c r="Q35" s="117"/>
      <c r="R35" s="118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12"/>
      <c r="AK35" s="12"/>
      <c r="AL35" s="6"/>
      <c r="AM35" s="6"/>
      <c r="AN35" s="6"/>
      <c r="AO35" s="14"/>
      <c r="AP35" s="14"/>
      <c r="AQ35" s="14"/>
      <c r="AR35" s="33"/>
      <c r="AS35" s="34"/>
    </row>
    <row r="36" spans="1:46" ht="19.5" customHeight="1" thickBot="1">
      <c r="A36" s="27"/>
      <c r="B36" s="59" t="s">
        <v>10</v>
      </c>
      <c r="C36" s="99" t="s">
        <v>17</v>
      </c>
      <c r="D36" s="100"/>
      <c r="E36" s="101"/>
      <c r="F36" s="87"/>
      <c r="G36" s="87"/>
      <c r="H36" s="86"/>
      <c r="I36" s="87"/>
      <c r="J36" s="86"/>
      <c r="K36" s="41"/>
      <c r="L36" s="42"/>
      <c r="M36" s="41"/>
      <c r="N36" s="42"/>
      <c r="O36" s="116">
        <v>0</v>
      </c>
      <c r="P36" s="117"/>
      <c r="Q36" s="117"/>
      <c r="R36" s="118"/>
      <c r="S36" s="2"/>
      <c r="T36" s="2"/>
      <c r="U36" s="2"/>
      <c r="V36" s="2"/>
      <c r="W36" s="2"/>
      <c r="X36" s="2"/>
      <c r="Y36" s="2"/>
      <c r="Z36" s="2"/>
      <c r="AA36" s="2"/>
      <c r="AB36" s="2"/>
      <c r="AM36" s="6"/>
      <c r="AN36" s="6"/>
      <c r="AO36" s="6"/>
      <c r="AP36" s="6"/>
      <c r="AQ36" s="6"/>
      <c r="AR36" s="6"/>
      <c r="AS36" s="6"/>
    </row>
    <row r="37" spans="1:46" ht="19.5" customHeight="1" thickBot="1">
      <c r="A37" s="27"/>
      <c r="B37" s="60" t="s">
        <v>7</v>
      </c>
      <c r="C37" s="82" t="s">
        <v>43</v>
      </c>
      <c r="D37" s="83"/>
      <c r="E37" s="84"/>
      <c r="F37" s="61"/>
      <c r="G37" s="61"/>
      <c r="H37" s="62"/>
      <c r="I37" s="61"/>
      <c r="J37" s="61"/>
      <c r="K37" s="60"/>
      <c r="L37" s="62"/>
      <c r="M37" s="60"/>
      <c r="N37" s="62"/>
      <c r="O37" s="82">
        <v>1</v>
      </c>
      <c r="P37" s="83"/>
      <c r="Q37" s="83"/>
      <c r="R37" s="84"/>
      <c r="S37" s="4"/>
      <c r="T37" s="5"/>
      <c r="U37" s="5"/>
      <c r="V37" s="5"/>
      <c r="W37" s="5"/>
      <c r="X37" s="5"/>
      <c r="Y37" s="5"/>
      <c r="Z37" s="5"/>
      <c r="AA37" s="5"/>
      <c r="AB37" s="5"/>
      <c r="AC37" s="2"/>
      <c r="AD37" s="2"/>
      <c r="AE37" s="2"/>
      <c r="AF37" s="2"/>
      <c r="AG37" s="2"/>
      <c r="AH37" s="2"/>
      <c r="AI37" s="2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6" ht="19.5" customHeight="1">
      <c r="A38" s="27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6" ht="19.5" customHeight="1"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2"/>
      <c r="AD39" s="2"/>
      <c r="AE39" s="2"/>
      <c r="AF39" s="2"/>
      <c r="AG39" s="2"/>
      <c r="AH39" s="2"/>
      <c r="AI39" s="2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6" ht="19.5" customHeight="1">
      <c r="B40" s="2"/>
      <c r="C40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9"/>
      <c r="O40"/>
      <c r="P40"/>
      <c r="R40" s="4"/>
      <c r="S40" s="28"/>
      <c r="T40" s="28"/>
      <c r="U40" s="28"/>
      <c r="V40" s="28"/>
      <c r="W40" s="28"/>
      <c r="X40" s="28"/>
      <c r="Y40" s="28"/>
      <c r="Z40" s="28"/>
      <c r="AA40" s="28"/>
      <c r="AB40" s="28"/>
      <c r="AD40" s="2"/>
      <c r="AE40" s="2"/>
      <c r="AF40" s="2"/>
      <c r="AG40" s="2"/>
      <c r="AH40" s="2"/>
      <c r="AI40" s="28"/>
      <c r="AJ40" s="28"/>
      <c r="AK40" s="28"/>
      <c r="AL40" s="28"/>
      <c r="AM40" s="28"/>
      <c r="AN40" s="28"/>
      <c r="AO40" s="28"/>
      <c r="AP40" s="6"/>
      <c r="AQ40" s="6"/>
      <c r="AR40" s="6"/>
      <c r="AS40" s="33"/>
      <c r="AT40" s="34"/>
    </row>
    <row r="41" spans="1:46" ht="19.5" customHeight="1">
      <c r="B41" s="2"/>
      <c r="C4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9"/>
      <c r="O41"/>
      <c r="P41"/>
      <c r="R41" s="4"/>
      <c r="S41" s="28"/>
      <c r="T41" s="28"/>
      <c r="U41" s="28"/>
      <c r="V41" s="28"/>
      <c r="W41" s="28"/>
      <c r="X41" s="28"/>
      <c r="Y41" s="28"/>
      <c r="Z41" s="28"/>
      <c r="AA41" s="28"/>
      <c r="AB41" s="28"/>
      <c r="AD41" s="2"/>
      <c r="AE41" s="2"/>
      <c r="AF41" s="2"/>
      <c r="AG41" s="2"/>
      <c r="AH41" s="2"/>
      <c r="AI41" s="28"/>
      <c r="AJ41" s="28"/>
      <c r="AK41" s="28"/>
      <c r="AL41" s="28"/>
      <c r="AM41" s="28"/>
      <c r="AN41" s="28"/>
      <c r="AO41" s="28"/>
      <c r="AP41" s="6"/>
      <c r="AQ41" s="6"/>
      <c r="AR41" s="6"/>
      <c r="AS41" s="33"/>
      <c r="AT41" s="34"/>
    </row>
    <row r="42" spans="1:46" ht="19.5" customHeight="1">
      <c r="B42" s="2"/>
      <c r="C42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9"/>
      <c r="O42"/>
      <c r="P42"/>
      <c r="R42" s="4"/>
      <c r="S42" s="28"/>
      <c r="T42" s="28"/>
      <c r="U42" s="28"/>
      <c r="V42" s="28"/>
      <c r="W42" s="28"/>
      <c r="X42" s="28"/>
      <c r="Y42" s="28"/>
      <c r="Z42" s="28"/>
      <c r="AA42" s="28"/>
      <c r="AB42" s="28"/>
      <c r="AD42" s="2"/>
      <c r="AE42" s="2"/>
      <c r="AF42" s="2"/>
      <c r="AG42" s="2"/>
      <c r="AH42" s="2"/>
      <c r="AI42" s="28"/>
      <c r="AJ42" s="28"/>
      <c r="AK42" s="28"/>
      <c r="AL42" s="28"/>
      <c r="AM42" s="28"/>
      <c r="AN42" s="28"/>
      <c r="AO42" s="28"/>
      <c r="AP42" s="6"/>
      <c r="AQ42" s="6"/>
      <c r="AR42" s="6"/>
      <c r="AS42" s="33"/>
      <c r="AT42" s="34"/>
    </row>
    <row r="43" spans="1:46" ht="19.5" customHeight="1">
      <c r="B43" s="2"/>
      <c r="C43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9"/>
      <c r="O43"/>
      <c r="P43"/>
      <c r="R43" s="4"/>
      <c r="S43" s="28"/>
      <c r="T43" s="28"/>
      <c r="U43" s="28"/>
      <c r="V43" s="28"/>
      <c r="W43" s="28"/>
      <c r="X43" s="28"/>
      <c r="Y43" s="28"/>
      <c r="Z43" s="28"/>
      <c r="AA43" s="28"/>
      <c r="AB43" s="28"/>
      <c r="AD43" s="2"/>
      <c r="AE43" s="2"/>
      <c r="AF43" s="2"/>
      <c r="AG43" s="2"/>
      <c r="AH43" s="2"/>
      <c r="AI43" s="28"/>
      <c r="AJ43" s="28"/>
      <c r="AK43" s="28"/>
      <c r="AL43" s="28"/>
      <c r="AM43" s="28"/>
      <c r="AN43" s="28"/>
      <c r="AO43" s="28"/>
      <c r="AP43" s="6"/>
      <c r="AQ43" s="6"/>
      <c r="AR43" s="6"/>
      <c r="AS43" s="33"/>
      <c r="AT43" s="34"/>
    </row>
    <row r="44" spans="1:46" ht="19.5" customHeight="1">
      <c r="B44" s="2"/>
      <c r="C4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9"/>
      <c r="O44"/>
      <c r="P44"/>
      <c r="R44" s="4"/>
      <c r="S44" s="10"/>
      <c r="T44" s="10"/>
      <c r="U44" s="10"/>
      <c r="V44" s="10"/>
      <c r="W44" s="10"/>
      <c r="X44" s="10"/>
      <c r="Y44" s="10"/>
      <c r="Z44" s="10"/>
      <c r="AA44" s="10"/>
      <c r="AB44" s="10"/>
      <c r="AD44" s="2"/>
      <c r="AE44" s="2"/>
      <c r="AF44" s="2"/>
      <c r="AG44" s="2"/>
      <c r="AH44" s="2"/>
      <c r="AI44" s="10"/>
      <c r="AJ44" s="10"/>
      <c r="AK44" s="10"/>
      <c r="AL44" s="10"/>
      <c r="AM44" s="10"/>
      <c r="AN44" s="10"/>
      <c r="AO44" s="10"/>
      <c r="AP44" s="6"/>
      <c r="AQ44" s="6"/>
      <c r="AR44" s="6"/>
      <c r="AS44" s="33"/>
      <c r="AT44" s="34"/>
    </row>
    <row r="45" spans="1:46" ht="19.5" customHeight="1">
      <c r="B45" s="115" t="s">
        <v>29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R45" s="4"/>
      <c r="S45" s="110" t="s">
        <v>30</v>
      </c>
      <c r="T45" s="110"/>
      <c r="U45" s="110"/>
      <c r="V45" s="110"/>
      <c r="W45" s="110"/>
      <c r="X45" s="110"/>
      <c r="Y45" s="110"/>
      <c r="Z45" s="110"/>
      <c r="AA45" s="110"/>
      <c r="AB45" s="110"/>
      <c r="AC45" s="1"/>
      <c r="AD45" s="1"/>
      <c r="AE45" s="2"/>
      <c r="AF45" s="6"/>
      <c r="AG45" s="6"/>
      <c r="AH45" s="111" t="s">
        <v>18</v>
      </c>
      <c r="AI45" s="111"/>
      <c r="AJ45" s="111"/>
      <c r="AK45" s="111"/>
      <c r="AL45" s="111"/>
      <c r="AM45" s="111"/>
      <c r="AN45" s="111"/>
      <c r="AO45" s="111"/>
      <c r="AP45" s="6"/>
      <c r="AQ45" s="6"/>
      <c r="AR45" s="6"/>
    </row>
    <row r="46" spans="1:46" ht="15.75" customHeight="1">
      <c r="B46" s="8"/>
      <c r="C46" s="112" t="s">
        <v>31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"/>
      <c r="R46" s="4"/>
      <c r="S46" s="113" t="s">
        <v>32</v>
      </c>
      <c r="T46" s="113"/>
      <c r="U46" s="113"/>
      <c r="V46" s="113"/>
      <c r="W46" s="113"/>
      <c r="X46" s="113"/>
      <c r="Y46" s="113"/>
      <c r="Z46" s="113"/>
      <c r="AA46" s="113"/>
      <c r="AB46" s="113"/>
      <c r="AC46" s="4"/>
      <c r="AD46" s="4"/>
      <c r="AE46" s="4"/>
      <c r="AF46" s="8"/>
      <c r="AG46" s="8"/>
      <c r="AH46" s="114" t="s">
        <v>33</v>
      </c>
      <c r="AI46" s="114"/>
      <c r="AJ46" s="114"/>
      <c r="AK46" s="114"/>
      <c r="AL46" s="114"/>
      <c r="AM46" s="114"/>
      <c r="AN46" s="114"/>
      <c r="AO46" s="114"/>
      <c r="AP46" s="114"/>
      <c r="AQ46" s="6"/>
      <c r="AR46" s="6"/>
      <c r="AS46" s="35"/>
    </row>
    <row r="47" spans="1:46" ht="15.75" customHeight="1">
      <c r="A47" s="8"/>
      <c r="B47" s="8"/>
      <c r="C47" s="8"/>
      <c r="D47" s="8"/>
      <c r="E47" s="8"/>
      <c r="F47" s="8"/>
      <c r="G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12"/>
      <c r="AK47" s="12"/>
      <c r="AL47" s="6"/>
      <c r="AM47" s="6"/>
      <c r="AN47" s="6"/>
      <c r="AO47" s="6"/>
      <c r="AP47" s="6"/>
      <c r="AQ47" s="6"/>
      <c r="AR47" s="6"/>
      <c r="AS47" s="6"/>
    </row>
    <row r="48" spans="1:4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2"/>
      <c r="AK48" s="12"/>
      <c r="AL48" s="6"/>
      <c r="AM48" s="6"/>
      <c r="AN48" s="6"/>
      <c r="AO48" s="6"/>
      <c r="AP48" s="6"/>
      <c r="AQ48" s="6"/>
      <c r="AR48" s="6"/>
      <c r="AS48" s="6"/>
    </row>
    <row r="49" spans="1:45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12"/>
      <c r="AK49" s="12"/>
      <c r="AL49" s="6"/>
      <c r="AM49" s="6"/>
      <c r="AN49" s="6"/>
      <c r="AO49" s="6"/>
      <c r="AP49" s="6"/>
      <c r="AQ49" s="6"/>
      <c r="AR49" s="6"/>
      <c r="AS49" s="6"/>
    </row>
    <row r="50" spans="1:45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12"/>
      <c r="AK50" s="12"/>
      <c r="AL50" s="6"/>
      <c r="AM50" s="6"/>
      <c r="AN50" s="6"/>
      <c r="AO50" s="6"/>
      <c r="AP50" s="6"/>
      <c r="AQ50" s="6"/>
      <c r="AR50" s="6"/>
      <c r="AS50" s="6"/>
    </row>
    <row r="51" spans="1:45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2"/>
      <c r="AK51" s="12"/>
      <c r="AL51" s="6"/>
      <c r="AM51" s="6"/>
      <c r="AN51" s="6"/>
      <c r="AO51" s="6"/>
      <c r="AP51" s="6"/>
      <c r="AQ51" s="6"/>
      <c r="AR51" s="6"/>
      <c r="AS51" s="6"/>
    </row>
    <row r="52" spans="1:45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2"/>
      <c r="AK52" s="12"/>
      <c r="AL52" s="6"/>
      <c r="AM52" s="6"/>
      <c r="AN52" s="6"/>
      <c r="AO52" s="6"/>
      <c r="AP52" s="6"/>
      <c r="AQ52" s="6"/>
      <c r="AR52" s="6"/>
      <c r="AS52" s="6"/>
    </row>
    <row r="53" spans="1:45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2"/>
      <c r="AK53" s="12"/>
      <c r="AL53" s="6"/>
      <c r="AM53" s="6"/>
      <c r="AN53" s="6"/>
      <c r="AO53" s="6"/>
      <c r="AP53" s="6"/>
      <c r="AQ53" s="6"/>
      <c r="AR53" s="6"/>
      <c r="AS53" s="6"/>
    </row>
    <row r="54" spans="1:45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2"/>
      <c r="AK54" s="12"/>
      <c r="AL54" s="6"/>
      <c r="AM54" s="6"/>
      <c r="AN54" s="6"/>
      <c r="AO54" s="6"/>
      <c r="AP54" s="6"/>
      <c r="AQ54" s="6"/>
      <c r="AR54" s="6"/>
      <c r="AS54" s="6"/>
    </row>
    <row r="55" spans="1:4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2"/>
      <c r="AK55" s="12"/>
      <c r="AL55" s="6"/>
      <c r="AM55" s="6"/>
      <c r="AN55" s="6"/>
      <c r="AO55" s="6"/>
      <c r="AP55" s="6"/>
      <c r="AQ55" s="6"/>
      <c r="AR55" s="6"/>
      <c r="AS55" s="6"/>
    </row>
    <row r="56" spans="1:45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2"/>
      <c r="AK56" s="12"/>
      <c r="AL56" s="6"/>
      <c r="AM56" s="6"/>
      <c r="AN56" s="6"/>
      <c r="AO56" s="6"/>
      <c r="AP56" s="6"/>
      <c r="AQ56" s="6"/>
      <c r="AR56" s="6"/>
      <c r="AS56" s="6"/>
    </row>
    <row r="57" spans="1:45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2"/>
      <c r="AK57" s="12"/>
      <c r="AL57" s="6"/>
      <c r="AM57" s="6"/>
      <c r="AN57" s="6"/>
      <c r="AO57" s="6"/>
      <c r="AP57" s="6"/>
      <c r="AQ57" s="6"/>
      <c r="AR57" s="6"/>
      <c r="AS57" s="6"/>
    </row>
    <row r="58" spans="1:45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2"/>
      <c r="AK58" s="12"/>
      <c r="AL58" s="6"/>
      <c r="AM58" s="6"/>
      <c r="AN58" s="6"/>
      <c r="AO58" s="6"/>
      <c r="AP58" s="6"/>
      <c r="AQ58" s="6"/>
      <c r="AR58" s="6"/>
      <c r="AS58" s="6"/>
    </row>
    <row r="59" spans="1:45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2"/>
      <c r="AK59" s="12"/>
      <c r="AL59" s="6"/>
      <c r="AM59" s="6"/>
      <c r="AN59" s="6"/>
      <c r="AO59" s="6"/>
      <c r="AP59" s="6"/>
      <c r="AQ59" s="6"/>
      <c r="AR59" s="6"/>
      <c r="AS59" s="6"/>
    </row>
    <row r="60" spans="1:45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12"/>
      <c r="AK60" s="12"/>
      <c r="AL60" s="6"/>
      <c r="AM60" s="6"/>
      <c r="AN60" s="6"/>
      <c r="AO60" s="6"/>
      <c r="AP60" s="6"/>
      <c r="AQ60" s="6"/>
      <c r="AR60" s="6"/>
      <c r="AS60" s="6"/>
    </row>
    <row r="61" spans="1:45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2"/>
      <c r="AK61" s="12"/>
      <c r="AL61" s="6"/>
      <c r="AM61" s="6"/>
      <c r="AN61" s="6"/>
      <c r="AO61" s="6"/>
      <c r="AP61" s="6"/>
      <c r="AQ61" s="6"/>
      <c r="AR61" s="6"/>
      <c r="AS61" s="6"/>
    </row>
    <row r="62" spans="1:45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12"/>
      <c r="AK62" s="12"/>
      <c r="AL62" s="6"/>
      <c r="AM62" s="6"/>
      <c r="AN62" s="6"/>
      <c r="AO62" s="6"/>
      <c r="AP62" s="6"/>
      <c r="AQ62" s="6"/>
      <c r="AR62" s="6"/>
      <c r="AS62" s="6"/>
    </row>
    <row r="63" spans="1:45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2"/>
      <c r="AK63" s="12"/>
      <c r="AL63" s="6"/>
      <c r="AM63" s="6"/>
      <c r="AN63" s="6"/>
      <c r="AO63" s="6"/>
      <c r="AP63" s="6"/>
      <c r="AQ63" s="6"/>
      <c r="AR63" s="6"/>
      <c r="AS63" s="6"/>
    </row>
    <row r="64" spans="1:45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12"/>
      <c r="AK64" s="12"/>
      <c r="AL64" s="6"/>
      <c r="AM64" s="6"/>
      <c r="AN64" s="6"/>
      <c r="AO64" s="6"/>
      <c r="AP64" s="6"/>
      <c r="AQ64" s="6"/>
      <c r="AR64" s="6"/>
      <c r="AS64" s="6"/>
    </row>
    <row r="65" spans="1:4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12"/>
      <c r="AK65" s="12"/>
      <c r="AL65" s="6"/>
      <c r="AM65" s="6"/>
      <c r="AN65" s="6"/>
      <c r="AO65" s="6"/>
      <c r="AP65" s="6"/>
      <c r="AQ65" s="6"/>
      <c r="AR65" s="6"/>
      <c r="AS65" s="6"/>
    </row>
    <row r="66" spans="1:45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12"/>
      <c r="AK66" s="12"/>
      <c r="AL66" s="6"/>
      <c r="AM66" s="6"/>
      <c r="AN66" s="6"/>
      <c r="AO66" s="6"/>
      <c r="AP66" s="6"/>
      <c r="AQ66" s="6"/>
      <c r="AR66" s="6"/>
      <c r="AS66" s="6"/>
    </row>
    <row r="67" spans="1:45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12"/>
      <c r="AK67" s="12"/>
      <c r="AL67" s="6"/>
      <c r="AM67" s="6"/>
      <c r="AN67" s="6"/>
      <c r="AO67" s="6"/>
      <c r="AP67" s="6"/>
      <c r="AQ67" s="6"/>
      <c r="AR67" s="6"/>
      <c r="AS67" s="6"/>
    </row>
    <row r="68" spans="1:45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12"/>
      <c r="AK68" s="12"/>
      <c r="AL68" s="6"/>
      <c r="AM68" s="6"/>
      <c r="AN68" s="6"/>
      <c r="AO68" s="6"/>
      <c r="AP68" s="6"/>
      <c r="AQ68" s="6"/>
      <c r="AR68" s="6"/>
      <c r="AS68" s="6"/>
    </row>
    <row r="69" spans="1:45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2"/>
      <c r="AK69" s="12"/>
      <c r="AL69" s="6"/>
      <c r="AM69" s="6"/>
      <c r="AN69" s="6"/>
      <c r="AO69" s="6"/>
      <c r="AP69" s="6"/>
      <c r="AQ69" s="6"/>
      <c r="AR69" s="6"/>
      <c r="AS69" s="6"/>
    </row>
    <row r="70" spans="1:45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12"/>
      <c r="AK70" s="12"/>
      <c r="AL70" s="6"/>
      <c r="AM70" s="6"/>
      <c r="AN70" s="6"/>
      <c r="AO70" s="6"/>
      <c r="AP70" s="6"/>
      <c r="AQ70" s="6"/>
      <c r="AR70" s="6"/>
      <c r="AS70" s="6"/>
    </row>
    <row r="71" spans="1:45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12"/>
      <c r="AK71" s="12"/>
      <c r="AL71" s="6"/>
      <c r="AM71" s="6"/>
      <c r="AN71" s="6"/>
      <c r="AO71" s="6"/>
      <c r="AP71" s="6"/>
      <c r="AQ71" s="6"/>
      <c r="AR71" s="6"/>
      <c r="AS71" s="6"/>
    </row>
    <row r="72" spans="1:45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12"/>
      <c r="AK72" s="12"/>
      <c r="AL72" s="6"/>
      <c r="AM72" s="6"/>
      <c r="AN72" s="6"/>
      <c r="AO72" s="6"/>
      <c r="AP72" s="6"/>
      <c r="AQ72" s="6"/>
      <c r="AR72" s="6"/>
      <c r="AS72" s="6"/>
    </row>
    <row r="73" spans="1:45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12"/>
      <c r="AK73" s="12"/>
      <c r="AL73" s="6"/>
      <c r="AM73" s="6"/>
      <c r="AN73" s="6"/>
      <c r="AO73" s="6"/>
      <c r="AP73" s="6"/>
      <c r="AQ73" s="6"/>
      <c r="AR73" s="6"/>
      <c r="AS73" s="6"/>
    </row>
    <row r="74" spans="1:45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12"/>
      <c r="AK74" s="12"/>
      <c r="AL74" s="6"/>
      <c r="AM74" s="6"/>
      <c r="AN74" s="6"/>
      <c r="AO74" s="6"/>
      <c r="AP74" s="6"/>
      <c r="AQ74" s="6"/>
      <c r="AR74" s="6"/>
      <c r="AS74" s="6"/>
    </row>
    <row r="75" spans="1:4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12"/>
      <c r="AK75" s="12"/>
      <c r="AL75" s="6"/>
      <c r="AM75" s="6"/>
      <c r="AN75" s="6"/>
      <c r="AO75" s="6"/>
      <c r="AP75" s="6"/>
      <c r="AQ75" s="6"/>
      <c r="AR75" s="6"/>
      <c r="AS75" s="6"/>
    </row>
    <row r="76" spans="1:45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12"/>
      <c r="AK76" s="12"/>
      <c r="AL76" s="6"/>
      <c r="AM76" s="6"/>
      <c r="AN76" s="6"/>
      <c r="AO76" s="6"/>
      <c r="AP76" s="6"/>
      <c r="AQ76" s="6"/>
      <c r="AR76" s="6"/>
      <c r="AS76" s="6"/>
    </row>
    <row r="77" spans="1:45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12"/>
      <c r="AK77" s="12"/>
      <c r="AL77" s="6"/>
      <c r="AM77" s="6"/>
      <c r="AN77" s="6"/>
      <c r="AO77" s="6"/>
      <c r="AP77" s="6"/>
      <c r="AQ77" s="6"/>
      <c r="AR77" s="6"/>
      <c r="AS77" s="6"/>
    </row>
    <row r="78" spans="1:45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12"/>
      <c r="AK78" s="12"/>
      <c r="AL78" s="6"/>
      <c r="AM78" s="6"/>
      <c r="AN78" s="6"/>
      <c r="AO78" s="6"/>
      <c r="AP78" s="6"/>
      <c r="AQ78" s="6"/>
      <c r="AR78" s="6"/>
      <c r="AS78" s="6"/>
    </row>
    <row r="79" spans="1:45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12"/>
      <c r="AK79" s="12"/>
      <c r="AL79" s="6"/>
      <c r="AM79" s="6"/>
      <c r="AN79" s="6"/>
      <c r="AO79" s="6"/>
      <c r="AP79" s="6"/>
      <c r="AQ79" s="6"/>
      <c r="AR79" s="6"/>
      <c r="AS79" s="6"/>
    </row>
    <row r="80" spans="1:45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12"/>
      <c r="AK80" s="12"/>
      <c r="AL80" s="6"/>
      <c r="AM80" s="6"/>
      <c r="AN80" s="6"/>
      <c r="AO80" s="6"/>
      <c r="AP80" s="6"/>
      <c r="AQ80" s="6"/>
      <c r="AR80" s="6"/>
      <c r="AS80" s="6"/>
    </row>
    <row r="81" spans="1:45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2"/>
      <c r="AK81" s="12"/>
      <c r="AL81" s="6"/>
      <c r="AM81" s="6"/>
      <c r="AN81" s="6"/>
      <c r="AO81" s="6"/>
      <c r="AP81" s="6"/>
      <c r="AQ81" s="6"/>
      <c r="AR81" s="6"/>
      <c r="AS81" s="6"/>
    </row>
    <row r="82" spans="1:45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12"/>
      <c r="AK82" s="12"/>
      <c r="AL82" s="6"/>
      <c r="AM82" s="6"/>
      <c r="AN82" s="6"/>
      <c r="AO82" s="6"/>
      <c r="AP82" s="6"/>
      <c r="AQ82" s="6"/>
      <c r="AR82" s="6"/>
      <c r="AS82" s="6"/>
    </row>
    <row r="83" spans="1:45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12"/>
      <c r="AK83" s="12"/>
      <c r="AL83" s="6"/>
      <c r="AM83" s="6"/>
      <c r="AN83" s="6"/>
      <c r="AO83" s="6"/>
      <c r="AP83" s="6"/>
      <c r="AQ83" s="6"/>
      <c r="AR83" s="6"/>
      <c r="AS83" s="6"/>
    </row>
    <row r="84" spans="1:45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12"/>
      <c r="AK84" s="12"/>
      <c r="AL84" s="6"/>
      <c r="AM84" s="6"/>
      <c r="AN84" s="6"/>
      <c r="AO84" s="6"/>
      <c r="AP84" s="6"/>
      <c r="AQ84" s="6"/>
      <c r="AR84" s="6"/>
      <c r="AS84" s="6"/>
    </row>
    <row r="85" spans="1:4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2"/>
      <c r="AK85" s="12"/>
      <c r="AL85" s="6"/>
      <c r="AM85" s="6"/>
      <c r="AN85" s="6"/>
      <c r="AO85" s="6"/>
      <c r="AP85" s="6"/>
      <c r="AQ85" s="6"/>
      <c r="AR85" s="6"/>
      <c r="AS85" s="6"/>
    </row>
    <row r="86" spans="1:45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12"/>
      <c r="AK86" s="12"/>
      <c r="AL86" s="6"/>
      <c r="AM86" s="6"/>
      <c r="AN86" s="6"/>
      <c r="AO86" s="6"/>
      <c r="AP86" s="6"/>
      <c r="AQ86" s="6"/>
      <c r="AR86" s="6"/>
      <c r="AS86" s="6"/>
    </row>
    <row r="87" spans="1:45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12"/>
      <c r="AK87" s="12"/>
      <c r="AL87" s="6"/>
      <c r="AM87" s="6"/>
      <c r="AN87" s="6"/>
      <c r="AO87" s="6"/>
      <c r="AP87" s="6"/>
      <c r="AQ87" s="6"/>
      <c r="AR87" s="6"/>
      <c r="AS87" s="6"/>
    </row>
    <row r="88" spans="1:45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12"/>
      <c r="AK88" s="12"/>
      <c r="AL88" s="6"/>
      <c r="AM88" s="6"/>
      <c r="AN88" s="6"/>
      <c r="AO88" s="6"/>
      <c r="AP88" s="6"/>
      <c r="AQ88" s="6"/>
      <c r="AR88" s="6"/>
      <c r="AS88" s="6"/>
    </row>
    <row r="89" spans="1:45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12"/>
      <c r="AK89" s="12"/>
      <c r="AL89" s="6"/>
      <c r="AM89" s="6"/>
      <c r="AN89" s="6"/>
      <c r="AO89" s="6"/>
      <c r="AP89" s="6"/>
      <c r="AQ89" s="6"/>
      <c r="AR89" s="6"/>
      <c r="AS89" s="6"/>
    </row>
    <row r="90" spans="1:45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12"/>
      <c r="AK90" s="12"/>
      <c r="AL90" s="6"/>
      <c r="AM90" s="6"/>
      <c r="AN90" s="6"/>
      <c r="AO90" s="6"/>
      <c r="AP90" s="6"/>
      <c r="AQ90" s="6"/>
      <c r="AR90" s="6"/>
      <c r="AS90" s="6"/>
    </row>
    <row r="91" spans="1:45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12"/>
      <c r="AK91" s="12"/>
      <c r="AL91" s="6"/>
      <c r="AM91" s="6"/>
      <c r="AN91" s="6"/>
      <c r="AO91" s="6"/>
      <c r="AP91" s="6"/>
      <c r="AQ91" s="6"/>
      <c r="AR91" s="6"/>
      <c r="AS91" s="6"/>
    </row>
    <row r="92" spans="1:45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12"/>
      <c r="AK92" s="12"/>
      <c r="AL92" s="6"/>
      <c r="AM92" s="6"/>
      <c r="AN92" s="6"/>
      <c r="AO92" s="6"/>
      <c r="AP92" s="6"/>
      <c r="AQ92" s="6"/>
      <c r="AR92" s="6"/>
      <c r="AS92" s="6"/>
    </row>
    <row r="93" spans="1:45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12"/>
      <c r="AK93" s="12"/>
      <c r="AL93" s="6"/>
      <c r="AM93" s="6"/>
      <c r="AN93" s="6"/>
      <c r="AO93" s="6"/>
      <c r="AP93" s="6"/>
      <c r="AQ93" s="6"/>
      <c r="AR93" s="6"/>
      <c r="AS93" s="6"/>
    </row>
    <row r="94" spans="1:45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12"/>
      <c r="AK94" s="12"/>
      <c r="AL94" s="6"/>
      <c r="AM94" s="6"/>
      <c r="AN94" s="6"/>
      <c r="AO94" s="6"/>
      <c r="AP94" s="6"/>
      <c r="AQ94" s="6"/>
      <c r="AR94" s="6"/>
      <c r="AS94" s="6"/>
    </row>
    <row r="95" spans="1:4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12"/>
      <c r="AK95" s="12"/>
      <c r="AL95" s="6"/>
      <c r="AM95" s="6"/>
      <c r="AN95" s="6"/>
      <c r="AO95" s="6"/>
      <c r="AP95" s="6"/>
      <c r="AQ95" s="6"/>
      <c r="AR95" s="6"/>
      <c r="AS95" s="6"/>
    </row>
    <row r="96" spans="1:45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2"/>
      <c r="AK96" s="12"/>
      <c r="AL96" s="6"/>
      <c r="AM96" s="6"/>
      <c r="AN96" s="6"/>
      <c r="AO96" s="6"/>
      <c r="AP96" s="6"/>
      <c r="AQ96" s="6"/>
      <c r="AR96" s="6"/>
      <c r="AS96" s="6"/>
    </row>
    <row r="97" spans="1:45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12"/>
      <c r="AK97" s="12"/>
      <c r="AL97" s="6"/>
      <c r="AM97" s="6"/>
      <c r="AN97" s="6"/>
      <c r="AO97" s="6"/>
      <c r="AP97" s="6"/>
      <c r="AQ97" s="6"/>
      <c r="AR97" s="6"/>
      <c r="AS97" s="6"/>
    </row>
    <row r="98" spans="1:45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12"/>
      <c r="AK98" s="12"/>
      <c r="AL98" s="6"/>
      <c r="AM98" s="6"/>
      <c r="AN98" s="6"/>
      <c r="AO98" s="6"/>
      <c r="AP98" s="6"/>
      <c r="AQ98" s="6"/>
      <c r="AR98" s="6"/>
      <c r="AS98" s="6"/>
    </row>
    <row r="99" spans="1:45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12"/>
      <c r="AK99" s="12"/>
      <c r="AL99" s="6"/>
      <c r="AM99" s="6"/>
      <c r="AN99" s="6"/>
      <c r="AO99" s="6"/>
      <c r="AP99" s="6"/>
      <c r="AQ99" s="6"/>
      <c r="AR99" s="6"/>
      <c r="AS99" s="6"/>
    </row>
    <row r="100" spans="1:45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12"/>
      <c r="AK100" s="12"/>
      <c r="AL100" s="6"/>
      <c r="AM100" s="6"/>
      <c r="AN100" s="6"/>
      <c r="AO100" s="6"/>
      <c r="AP100" s="6"/>
      <c r="AQ100" s="6"/>
      <c r="AR100" s="6"/>
      <c r="AS100" s="6"/>
    </row>
    <row r="101" spans="1:45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2"/>
      <c r="AK101" s="12"/>
      <c r="AL101" s="6"/>
      <c r="AM101" s="6"/>
      <c r="AN101" s="6"/>
      <c r="AO101" s="6"/>
      <c r="AP101" s="6"/>
      <c r="AQ101" s="6"/>
      <c r="AR101" s="6"/>
      <c r="AS101" s="6"/>
    </row>
    <row r="102" spans="1:45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12"/>
      <c r="AK102" s="12"/>
      <c r="AL102" s="6"/>
      <c r="AM102" s="6"/>
      <c r="AN102" s="6"/>
      <c r="AO102" s="6"/>
      <c r="AP102" s="6"/>
      <c r="AQ102" s="6"/>
      <c r="AR102" s="6"/>
      <c r="AS102" s="6"/>
    </row>
    <row r="103" spans="1:45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12"/>
      <c r="AK103" s="12"/>
      <c r="AL103" s="6"/>
      <c r="AM103" s="6"/>
      <c r="AN103" s="6"/>
      <c r="AO103" s="6"/>
      <c r="AP103" s="6"/>
      <c r="AQ103" s="6"/>
      <c r="AR103" s="6"/>
      <c r="AS103" s="6"/>
    </row>
    <row r="104" spans="1:45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12"/>
      <c r="AK104" s="12"/>
      <c r="AL104" s="6"/>
      <c r="AM104" s="6"/>
      <c r="AN104" s="6"/>
      <c r="AO104" s="6"/>
      <c r="AP104" s="6"/>
      <c r="AQ104" s="6"/>
      <c r="AR104" s="6"/>
      <c r="AS104" s="6"/>
    </row>
    <row r="105" spans="1:4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12"/>
      <c r="AK105" s="12"/>
      <c r="AL105" s="6"/>
      <c r="AM105" s="6"/>
      <c r="AN105" s="6"/>
      <c r="AO105" s="6"/>
      <c r="AP105" s="6"/>
      <c r="AQ105" s="6"/>
      <c r="AR105" s="6"/>
      <c r="AS105" s="6"/>
    </row>
    <row r="106" spans="1:45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12"/>
      <c r="AK106" s="12"/>
      <c r="AL106" s="6"/>
      <c r="AM106" s="6"/>
      <c r="AN106" s="6"/>
      <c r="AO106" s="6"/>
      <c r="AP106" s="6"/>
      <c r="AQ106" s="6"/>
      <c r="AR106" s="6"/>
      <c r="AS106" s="6"/>
    </row>
    <row r="107" spans="1:45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12"/>
      <c r="AK107" s="12"/>
      <c r="AL107" s="6"/>
      <c r="AM107" s="6"/>
      <c r="AN107" s="6"/>
      <c r="AO107" s="6"/>
      <c r="AP107" s="6"/>
      <c r="AQ107" s="6"/>
      <c r="AR107" s="6"/>
      <c r="AS107" s="6"/>
    </row>
    <row r="108" spans="1:45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12"/>
      <c r="AK108" s="12"/>
      <c r="AL108" s="6"/>
      <c r="AM108" s="6"/>
      <c r="AN108" s="6"/>
      <c r="AO108" s="6"/>
      <c r="AP108" s="6"/>
      <c r="AQ108" s="6"/>
      <c r="AR108" s="6"/>
      <c r="AS108" s="6"/>
    </row>
    <row r="109" spans="1:45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12"/>
      <c r="AK109" s="12"/>
      <c r="AL109" s="6"/>
      <c r="AM109" s="6"/>
      <c r="AN109" s="6"/>
      <c r="AO109" s="6"/>
      <c r="AP109" s="6"/>
      <c r="AQ109" s="6"/>
      <c r="AR109" s="6"/>
      <c r="AS109" s="6"/>
    </row>
    <row r="110" spans="1:45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12"/>
      <c r="AK110" s="12"/>
      <c r="AL110" s="6"/>
      <c r="AM110" s="6"/>
      <c r="AN110" s="6"/>
      <c r="AO110" s="6"/>
      <c r="AP110" s="6"/>
      <c r="AQ110" s="6"/>
      <c r="AR110" s="6"/>
      <c r="AS110" s="6"/>
    </row>
    <row r="111" spans="1:45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12"/>
      <c r="AK111" s="12"/>
      <c r="AL111" s="6"/>
      <c r="AM111" s="6"/>
      <c r="AN111" s="6"/>
      <c r="AO111" s="6"/>
      <c r="AP111" s="6"/>
      <c r="AQ111" s="6"/>
      <c r="AR111" s="6"/>
      <c r="AS111" s="6"/>
    </row>
    <row r="112" spans="1:45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12"/>
      <c r="AK112" s="12"/>
      <c r="AL112" s="6"/>
      <c r="AM112" s="6"/>
      <c r="AN112" s="6"/>
      <c r="AO112" s="6"/>
      <c r="AP112" s="6"/>
      <c r="AQ112" s="6"/>
      <c r="AR112" s="6"/>
      <c r="AS112" s="6"/>
    </row>
    <row r="113" spans="1:45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12"/>
      <c r="AK113" s="12"/>
      <c r="AL113" s="6"/>
      <c r="AM113" s="6"/>
      <c r="AN113" s="6"/>
      <c r="AO113" s="6"/>
      <c r="AP113" s="6"/>
      <c r="AQ113" s="6"/>
      <c r="AR113" s="6"/>
      <c r="AS113" s="6"/>
    </row>
    <row r="114" spans="1:45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12"/>
      <c r="AK114" s="12"/>
      <c r="AL114" s="6"/>
      <c r="AM114" s="6"/>
      <c r="AN114" s="6"/>
      <c r="AO114" s="6"/>
      <c r="AP114" s="6"/>
      <c r="AQ114" s="6"/>
      <c r="AR114" s="6"/>
      <c r="AS114" s="6"/>
    </row>
    <row r="115" spans="1:4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12"/>
      <c r="AK115" s="12"/>
      <c r="AL115" s="6"/>
      <c r="AM115" s="6"/>
      <c r="AN115" s="6"/>
      <c r="AO115" s="6"/>
      <c r="AP115" s="6"/>
      <c r="AQ115" s="6"/>
      <c r="AR115" s="6"/>
      <c r="AS115" s="6"/>
    </row>
    <row r="116" spans="1:45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12"/>
      <c r="AK116" s="12"/>
      <c r="AL116" s="6"/>
      <c r="AM116" s="6"/>
      <c r="AN116" s="6"/>
      <c r="AO116" s="6"/>
      <c r="AP116" s="6"/>
      <c r="AQ116" s="6"/>
      <c r="AR116" s="6"/>
      <c r="AS116" s="6"/>
    </row>
    <row r="117" spans="1:45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12"/>
      <c r="AK117" s="12"/>
      <c r="AL117" s="6"/>
      <c r="AM117" s="6"/>
      <c r="AN117" s="6"/>
      <c r="AO117" s="6"/>
      <c r="AP117" s="6"/>
      <c r="AQ117" s="6"/>
      <c r="AR117" s="6"/>
      <c r="AS117" s="6"/>
    </row>
    <row r="118" spans="1:45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12"/>
      <c r="AK118" s="12"/>
      <c r="AL118" s="6"/>
      <c r="AM118" s="6"/>
      <c r="AN118" s="6"/>
      <c r="AO118" s="6"/>
      <c r="AP118" s="6"/>
      <c r="AQ118" s="6"/>
      <c r="AR118" s="6"/>
      <c r="AS118" s="6"/>
    </row>
    <row r="119" spans="1:45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12"/>
      <c r="AK119" s="12"/>
      <c r="AL119" s="6"/>
      <c r="AM119" s="6"/>
      <c r="AN119" s="6"/>
      <c r="AO119" s="6"/>
      <c r="AP119" s="6"/>
      <c r="AQ119" s="6"/>
      <c r="AR119" s="6"/>
      <c r="AS119" s="6"/>
    </row>
    <row r="120" spans="1:45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12"/>
      <c r="AK120" s="12"/>
      <c r="AL120" s="6"/>
      <c r="AM120" s="6"/>
      <c r="AN120" s="6"/>
      <c r="AO120" s="6"/>
      <c r="AP120" s="6"/>
      <c r="AQ120" s="6"/>
      <c r="AR120" s="6"/>
      <c r="AS120" s="6"/>
    </row>
    <row r="121" spans="1:45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12"/>
      <c r="AK121" s="12"/>
      <c r="AL121" s="6"/>
      <c r="AM121" s="6"/>
      <c r="AN121" s="6"/>
      <c r="AO121" s="6"/>
      <c r="AP121" s="6"/>
      <c r="AQ121" s="6"/>
      <c r="AR121" s="6"/>
      <c r="AS121" s="6"/>
    </row>
    <row r="122" spans="1:45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12"/>
      <c r="AK122" s="12"/>
      <c r="AL122" s="6"/>
      <c r="AM122" s="6"/>
      <c r="AN122" s="6"/>
      <c r="AO122" s="6"/>
      <c r="AP122" s="6"/>
      <c r="AQ122" s="6"/>
      <c r="AR122" s="6"/>
      <c r="AS122" s="6"/>
    </row>
    <row r="123" spans="1:45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12"/>
      <c r="AK123" s="12"/>
      <c r="AL123" s="6"/>
      <c r="AM123" s="6"/>
      <c r="AN123" s="6"/>
      <c r="AO123" s="6"/>
      <c r="AP123" s="6"/>
      <c r="AQ123" s="6"/>
      <c r="AR123" s="6"/>
      <c r="AS123" s="6"/>
    </row>
    <row r="124" spans="1:45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12"/>
      <c r="AK124" s="12"/>
      <c r="AL124" s="6"/>
      <c r="AM124" s="6"/>
      <c r="AN124" s="6"/>
      <c r="AO124" s="6"/>
      <c r="AP124" s="6"/>
      <c r="AQ124" s="6"/>
      <c r="AR124" s="6"/>
      <c r="AS124" s="6"/>
    </row>
    <row r="125" spans="1:4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12"/>
      <c r="AK125" s="12"/>
      <c r="AL125" s="6"/>
      <c r="AM125" s="6"/>
      <c r="AN125" s="6"/>
      <c r="AO125" s="6"/>
      <c r="AP125" s="6"/>
      <c r="AQ125" s="6"/>
      <c r="AR125" s="6"/>
      <c r="AS125" s="6"/>
    </row>
    <row r="126" spans="1:45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12"/>
      <c r="AK126" s="12"/>
      <c r="AL126" s="6"/>
      <c r="AM126" s="6"/>
      <c r="AN126" s="6"/>
      <c r="AO126" s="6"/>
      <c r="AP126" s="6"/>
      <c r="AQ126" s="6"/>
      <c r="AR126" s="6"/>
      <c r="AS126" s="6"/>
    </row>
    <row r="127" spans="1:45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12"/>
      <c r="AK127" s="12"/>
      <c r="AL127" s="6"/>
      <c r="AM127" s="6"/>
      <c r="AN127" s="6"/>
      <c r="AO127" s="6"/>
      <c r="AP127" s="6"/>
      <c r="AQ127" s="6"/>
      <c r="AR127" s="6"/>
      <c r="AS127" s="6"/>
    </row>
    <row r="128" spans="1:45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12"/>
      <c r="AK128" s="12"/>
      <c r="AL128" s="6"/>
      <c r="AM128" s="6"/>
      <c r="AN128" s="6"/>
      <c r="AO128" s="6"/>
      <c r="AP128" s="6"/>
      <c r="AQ128" s="6"/>
      <c r="AR128" s="6"/>
      <c r="AS128" s="6"/>
    </row>
    <row r="129" spans="1:45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12"/>
      <c r="AK129" s="12"/>
      <c r="AL129" s="6"/>
      <c r="AM129" s="6"/>
      <c r="AN129" s="6"/>
      <c r="AO129" s="6"/>
      <c r="AP129" s="6"/>
      <c r="AQ129" s="6"/>
      <c r="AR129" s="6"/>
      <c r="AS129" s="6"/>
    </row>
    <row r="130" spans="1:45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12"/>
      <c r="AK130" s="12"/>
      <c r="AL130" s="6"/>
      <c r="AM130" s="6"/>
      <c r="AN130" s="6"/>
      <c r="AO130" s="6"/>
      <c r="AP130" s="6"/>
      <c r="AQ130" s="6"/>
      <c r="AR130" s="6"/>
      <c r="AS130" s="6"/>
    </row>
    <row r="131" spans="1:45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12"/>
      <c r="AK131" s="12"/>
      <c r="AL131" s="6"/>
      <c r="AM131" s="6"/>
      <c r="AN131" s="6"/>
      <c r="AO131" s="6"/>
      <c r="AP131" s="6"/>
      <c r="AQ131" s="6"/>
      <c r="AR131" s="6"/>
      <c r="AS131" s="6"/>
    </row>
    <row r="132" spans="1:45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12"/>
      <c r="AK132" s="12"/>
      <c r="AL132" s="6"/>
      <c r="AM132" s="6"/>
      <c r="AN132" s="6"/>
      <c r="AO132" s="6"/>
      <c r="AP132" s="6"/>
      <c r="AQ132" s="6"/>
      <c r="AR132" s="6"/>
      <c r="AS132" s="6"/>
    </row>
    <row r="133" spans="1:45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12"/>
      <c r="AK133" s="12"/>
      <c r="AL133" s="6"/>
      <c r="AM133" s="6"/>
      <c r="AN133" s="6"/>
      <c r="AO133" s="6"/>
      <c r="AP133" s="6"/>
      <c r="AQ133" s="6"/>
      <c r="AR133" s="6"/>
      <c r="AS133" s="6"/>
    </row>
    <row r="134" spans="1:45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12"/>
      <c r="AK134" s="12"/>
      <c r="AL134" s="6"/>
      <c r="AM134" s="6"/>
      <c r="AN134" s="6"/>
      <c r="AO134" s="6"/>
      <c r="AP134" s="6"/>
      <c r="AQ134" s="6"/>
      <c r="AR134" s="6"/>
      <c r="AS134" s="6"/>
    </row>
    <row r="135" spans="1:4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12"/>
      <c r="AK135" s="12"/>
      <c r="AL135" s="6"/>
      <c r="AM135" s="6"/>
      <c r="AN135" s="6"/>
      <c r="AO135" s="6"/>
      <c r="AP135" s="6"/>
      <c r="AQ135" s="6"/>
      <c r="AR135" s="6"/>
      <c r="AS135" s="6"/>
    </row>
    <row r="136" spans="1:45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12"/>
      <c r="AK136" s="12"/>
      <c r="AL136" s="6"/>
      <c r="AM136" s="6"/>
      <c r="AN136" s="6"/>
      <c r="AO136" s="6"/>
      <c r="AP136" s="6"/>
      <c r="AQ136" s="6"/>
      <c r="AR136" s="6"/>
      <c r="AS136" s="6"/>
    </row>
    <row r="137" spans="1:45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12"/>
      <c r="AK137" s="12"/>
      <c r="AL137" s="6"/>
      <c r="AM137" s="6"/>
      <c r="AN137" s="6"/>
      <c r="AO137" s="6"/>
      <c r="AP137" s="6"/>
      <c r="AQ137" s="6"/>
      <c r="AR137" s="6"/>
      <c r="AS137" s="6"/>
    </row>
    <row r="138" spans="1:45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12"/>
      <c r="AK138" s="12"/>
      <c r="AL138" s="6"/>
      <c r="AM138" s="6"/>
      <c r="AN138" s="6"/>
      <c r="AO138" s="6"/>
      <c r="AP138" s="6"/>
      <c r="AQ138" s="6"/>
      <c r="AR138" s="6"/>
      <c r="AS138" s="6"/>
    </row>
    <row r="139" spans="1:45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12"/>
      <c r="AK139" s="12"/>
      <c r="AL139" s="6"/>
      <c r="AM139" s="6"/>
      <c r="AN139" s="6"/>
      <c r="AO139" s="6"/>
      <c r="AP139" s="6"/>
      <c r="AQ139" s="6"/>
      <c r="AR139" s="6"/>
      <c r="AS139" s="6"/>
    </row>
    <row r="140" spans="1:45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12"/>
      <c r="AK140" s="12"/>
      <c r="AL140" s="6"/>
      <c r="AM140" s="6"/>
      <c r="AN140" s="6"/>
      <c r="AO140" s="6"/>
      <c r="AP140" s="6"/>
      <c r="AQ140" s="6"/>
      <c r="AR140" s="6"/>
      <c r="AS140" s="6"/>
    </row>
    <row r="141" spans="1:45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2"/>
      <c r="AK141" s="12"/>
      <c r="AL141" s="6"/>
      <c r="AM141" s="6"/>
      <c r="AN141" s="6"/>
      <c r="AO141" s="6"/>
      <c r="AP141" s="6"/>
      <c r="AQ141" s="6"/>
      <c r="AR141" s="6"/>
      <c r="AS141" s="6"/>
    </row>
    <row r="142" spans="1:45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12"/>
      <c r="AK142" s="12"/>
      <c r="AL142" s="6"/>
      <c r="AM142" s="6"/>
      <c r="AN142" s="6"/>
      <c r="AO142" s="6"/>
      <c r="AP142" s="6"/>
      <c r="AQ142" s="6"/>
      <c r="AR142" s="6"/>
      <c r="AS142" s="6"/>
    </row>
    <row r="143" spans="1:45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12"/>
      <c r="AK143" s="12"/>
      <c r="AL143" s="6"/>
      <c r="AM143" s="6"/>
      <c r="AN143" s="6"/>
      <c r="AO143" s="6"/>
      <c r="AP143" s="6"/>
      <c r="AQ143" s="6"/>
      <c r="AR143" s="6"/>
      <c r="AS143" s="6"/>
    </row>
    <row r="144" spans="1:45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12"/>
      <c r="AK144" s="12"/>
      <c r="AL144" s="6"/>
      <c r="AM144" s="6"/>
      <c r="AN144" s="6"/>
      <c r="AO144" s="6"/>
      <c r="AP144" s="6"/>
      <c r="AQ144" s="6"/>
      <c r="AR144" s="6"/>
      <c r="AS144" s="6"/>
    </row>
    <row r="145" spans="1: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2"/>
      <c r="AK145" s="12"/>
      <c r="AL145" s="6"/>
      <c r="AM145" s="6"/>
      <c r="AN145" s="6"/>
      <c r="AO145" s="6"/>
      <c r="AP145" s="6"/>
      <c r="AQ145" s="6"/>
      <c r="AR145" s="6"/>
      <c r="AS145" s="6"/>
    </row>
    <row r="146" spans="1:45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12"/>
      <c r="AK146" s="12"/>
      <c r="AL146" s="6"/>
      <c r="AM146" s="6"/>
      <c r="AN146" s="6"/>
      <c r="AO146" s="6"/>
      <c r="AP146" s="6"/>
      <c r="AQ146" s="6"/>
      <c r="AR146" s="6"/>
      <c r="AS146" s="6"/>
    </row>
    <row r="147" spans="1:45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12"/>
      <c r="AK147" s="12"/>
      <c r="AL147" s="6"/>
      <c r="AM147" s="6"/>
      <c r="AN147" s="6"/>
      <c r="AO147" s="6"/>
      <c r="AP147" s="6"/>
      <c r="AQ147" s="6"/>
      <c r="AR147" s="6"/>
      <c r="AS147" s="6"/>
    </row>
    <row r="148" spans="1:45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12"/>
      <c r="AK148" s="12"/>
      <c r="AL148" s="6"/>
      <c r="AM148" s="6"/>
      <c r="AN148" s="6"/>
      <c r="AO148" s="6"/>
      <c r="AP148" s="6"/>
      <c r="AQ148" s="6"/>
      <c r="AR148" s="6"/>
      <c r="AS148" s="6"/>
    </row>
    <row r="149" spans="1:45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2"/>
      <c r="AK149" s="12"/>
      <c r="AL149" s="6"/>
      <c r="AM149" s="6"/>
      <c r="AN149" s="6"/>
      <c r="AO149" s="6"/>
      <c r="AP149" s="6"/>
      <c r="AQ149" s="6"/>
      <c r="AR149" s="6"/>
      <c r="AS149" s="6"/>
    </row>
    <row r="150" spans="1:45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12"/>
      <c r="AK150" s="12"/>
      <c r="AL150" s="6"/>
      <c r="AM150" s="6"/>
      <c r="AN150" s="6"/>
      <c r="AO150" s="6"/>
      <c r="AP150" s="6"/>
      <c r="AQ150" s="6"/>
      <c r="AR150" s="6"/>
      <c r="AS150" s="6"/>
    </row>
    <row r="151" spans="1:45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12"/>
      <c r="AK151" s="12"/>
      <c r="AL151" s="6"/>
      <c r="AM151" s="6"/>
      <c r="AN151" s="6"/>
      <c r="AO151" s="6"/>
      <c r="AP151" s="6"/>
      <c r="AQ151" s="6"/>
      <c r="AR151" s="6"/>
      <c r="AS151" s="6"/>
    </row>
    <row r="152" spans="1:45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12"/>
      <c r="AK152" s="12"/>
      <c r="AL152" s="6"/>
      <c r="AM152" s="6"/>
      <c r="AN152" s="6"/>
      <c r="AO152" s="6"/>
      <c r="AP152" s="6"/>
      <c r="AQ152" s="6"/>
      <c r="AR152" s="6"/>
      <c r="AS152" s="6"/>
    </row>
    <row r="153" spans="1:45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12"/>
      <c r="AK153" s="12"/>
      <c r="AL153" s="6"/>
      <c r="AM153" s="6"/>
      <c r="AN153" s="6"/>
      <c r="AO153" s="6"/>
      <c r="AP153" s="6"/>
      <c r="AQ153" s="6"/>
      <c r="AR153" s="6"/>
      <c r="AS153" s="6"/>
    </row>
    <row r="154" spans="1:45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12"/>
      <c r="AK154" s="12"/>
      <c r="AL154" s="6"/>
      <c r="AM154" s="6"/>
      <c r="AN154" s="6"/>
      <c r="AO154" s="6"/>
      <c r="AP154" s="6"/>
      <c r="AQ154" s="6"/>
      <c r="AR154" s="6"/>
      <c r="AS154" s="6"/>
    </row>
    <row r="155" spans="1:4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12"/>
      <c r="AK155" s="12"/>
      <c r="AL155" s="6"/>
      <c r="AM155" s="6"/>
      <c r="AN155" s="6"/>
      <c r="AO155" s="6"/>
      <c r="AP155" s="6"/>
      <c r="AQ155" s="6"/>
      <c r="AR155" s="6"/>
      <c r="AS155" s="6"/>
    </row>
    <row r="156" spans="1:45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12"/>
      <c r="AK156" s="12"/>
      <c r="AL156" s="6"/>
      <c r="AM156" s="6"/>
      <c r="AN156" s="6"/>
      <c r="AO156" s="6"/>
      <c r="AP156" s="6"/>
      <c r="AQ156" s="6"/>
      <c r="AR156" s="6"/>
      <c r="AS156" s="6"/>
    </row>
    <row r="157" spans="1:45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12"/>
      <c r="AK157" s="12"/>
      <c r="AL157" s="6"/>
      <c r="AM157" s="6"/>
      <c r="AN157" s="6"/>
      <c r="AO157" s="6"/>
      <c r="AP157" s="6"/>
      <c r="AQ157" s="6"/>
      <c r="AR157" s="6"/>
      <c r="AS157" s="6"/>
    </row>
    <row r="158" spans="1:45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12"/>
      <c r="AK158" s="12"/>
      <c r="AL158" s="6"/>
      <c r="AM158" s="6"/>
      <c r="AN158" s="6"/>
      <c r="AO158" s="6"/>
      <c r="AP158" s="6"/>
      <c r="AQ158" s="6"/>
      <c r="AR158" s="6"/>
      <c r="AS158" s="6"/>
    </row>
    <row r="159" spans="1:45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12"/>
      <c r="AK159" s="12"/>
      <c r="AL159" s="6"/>
      <c r="AM159" s="6"/>
      <c r="AN159" s="6"/>
      <c r="AO159" s="6"/>
      <c r="AP159" s="6"/>
      <c r="AQ159" s="6"/>
      <c r="AR159" s="6"/>
      <c r="AS159" s="6"/>
    </row>
    <row r="160" spans="1:45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12"/>
      <c r="AK160" s="12"/>
      <c r="AL160" s="6"/>
      <c r="AM160" s="6"/>
      <c r="AN160" s="6"/>
      <c r="AO160" s="6"/>
      <c r="AP160" s="6"/>
      <c r="AQ160" s="6"/>
      <c r="AR160" s="6"/>
      <c r="AS160" s="6"/>
    </row>
    <row r="161" spans="1:45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12"/>
      <c r="AK161" s="12"/>
      <c r="AL161" s="6"/>
      <c r="AM161" s="6"/>
      <c r="AN161" s="6"/>
      <c r="AO161" s="6"/>
      <c r="AP161" s="6"/>
      <c r="AQ161" s="6"/>
      <c r="AR161" s="6"/>
      <c r="AS161" s="6"/>
    </row>
    <row r="162" spans="1:45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12"/>
      <c r="AK162" s="12"/>
      <c r="AL162" s="6"/>
      <c r="AM162" s="6"/>
      <c r="AN162" s="6"/>
      <c r="AO162" s="6"/>
      <c r="AP162" s="6"/>
      <c r="AQ162" s="6"/>
      <c r="AR162" s="6"/>
      <c r="AS162" s="6"/>
    </row>
    <row r="163" spans="1:45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12"/>
      <c r="AK163" s="12"/>
      <c r="AL163" s="6"/>
      <c r="AM163" s="6"/>
      <c r="AN163" s="6"/>
      <c r="AO163" s="6"/>
      <c r="AP163" s="6"/>
      <c r="AQ163" s="6"/>
      <c r="AR163" s="6"/>
      <c r="AS163" s="6"/>
    </row>
    <row r="164" spans="1:45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12"/>
      <c r="AK164" s="12"/>
      <c r="AL164" s="6"/>
      <c r="AM164" s="6"/>
      <c r="AN164" s="6"/>
      <c r="AO164" s="6"/>
      <c r="AP164" s="6"/>
      <c r="AQ164" s="6"/>
      <c r="AR164" s="6"/>
      <c r="AS164" s="6"/>
    </row>
    <row r="165" spans="1:4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12"/>
      <c r="AK165" s="12"/>
      <c r="AL165" s="6"/>
      <c r="AM165" s="6"/>
      <c r="AN165" s="6"/>
      <c r="AO165" s="6"/>
      <c r="AP165" s="6"/>
      <c r="AQ165" s="6"/>
      <c r="AR165" s="6"/>
      <c r="AS165" s="6"/>
    </row>
    <row r="166" spans="1:45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12"/>
      <c r="AK166" s="12"/>
      <c r="AL166" s="6"/>
      <c r="AM166" s="6"/>
      <c r="AN166" s="6"/>
      <c r="AO166" s="6"/>
      <c r="AP166" s="6"/>
      <c r="AQ166" s="6"/>
      <c r="AR166" s="6"/>
      <c r="AS166" s="6"/>
    </row>
    <row r="167" spans="1:45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12"/>
      <c r="AK167" s="12"/>
      <c r="AL167" s="6"/>
      <c r="AM167" s="6"/>
      <c r="AN167" s="6"/>
      <c r="AO167" s="6"/>
      <c r="AP167" s="6"/>
      <c r="AQ167" s="6"/>
      <c r="AR167" s="6"/>
      <c r="AS167" s="6"/>
    </row>
    <row r="168" spans="1:45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12"/>
      <c r="AK168" s="12"/>
      <c r="AL168" s="6"/>
      <c r="AM168" s="6"/>
      <c r="AN168" s="6"/>
      <c r="AO168" s="6"/>
      <c r="AP168" s="6"/>
      <c r="AQ168" s="6"/>
      <c r="AR168" s="6"/>
      <c r="AS168" s="6"/>
    </row>
    <row r="169" spans="1:45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12"/>
      <c r="AK169" s="12"/>
      <c r="AL169" s="6"/>
      <c r="AM169" s="6"/>
      <c r="AN169" s="6"/>
      <c r="AO169" s="6"/>
      <c r="AP169" s="6"/>
      <c r="AQ169" s="6"/>
      <c r="AR169" s="6"/>
      <c r="AS169" s="6"/>
    </row>
    <row r="170" spans="1:45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12"/>
      <c r="AK170" s="12"/>
      <c r="AL170" s="6"/>
      <c r="AM170" s="6"/>
      <c r="AN170" s="6"/>
      <c r="AO170" s="6"/>
      <c r="AP170" s="6"/>
      <c r="AQ170" s="6"/>
      <c r="AR170" s="6"/>
      <c r="AS170" s="6"/>
    </row>
    <row r="171" spans="1:45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12"/>
      <c r="AK171" s="12"/>
      <c r="AL171" s="6"/>
      <c r="AM171" s="6"/>
      <c r="AN171" s="6"/>
      <c r="AO171" s="6"/>
      <c r="AP171" s="6"/>
      <c r="AQ171" s="6"/>
      <c r="AR171" s="6"/>
      <c r="AS171" s="6"/>
    </row>
    <row r="172" spans="1:45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12"/>
      <c r="AK172" s="12"/>
      <c r="AL172" s="6"/>
      <c r="AM172" s="6"/>
      <c r="AN172" s="6"/>
      <c r="AO172" s="6"/>
      <c r="AP172" s="6"/>
      <c r="AQ172" s="6"/>
      <c r="AR172" s="6"/>
      <c r="AS172" s="6"/>
    </row>
    <row r="173" spans="1:45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12"/>
      <c r="AK173" s="12"/>
      <c r="AL173" s="6"/>
      <c r="AM173" s="6"/>
      <c r="AN173" s="6"/>
      <c r="AO173" s="6"/>
      <c r="AP173" s="6"/>
      <c r="AQ173" s="6"/>
      <c r="AR173" s="6"/>
      <c r="AS173" s="6"/>
    </row>
    <row r="174" spans="1:45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12"/>
      <c r="AK174" s="12"/>
      <c r="AL174" s="6"/>
      <c r="AM174" s="6"/>
      <c r="AN174" s="6"/>
      <c r="AO174" s="6"/>
      <c r="AP174" s="6"/>
      <c r="AQ174" s="6"/>
      <c r="AR174" s="6"/>
      <c r="AS174" s="6"/>
    </row>
    <row r="175" spans="1:4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12"/>
      <c r="AK175" s="12"/>
      <c r="AL175" s="6"/>
      <c r="AM175" s="6"/>
      <c r="AN175" s="6"/>
      <c r="AO175" s="6"/>
      <c r="AP175" s="6"/>
      <c r="AQ175" s="6"/>
      <c r="AR175" s="6"/>
      <c r="AS175" s="6"/>
    </row>
    <row r="176" spans="1:45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12"/>
      <c r="AK176" s="12"/>
      <c r="AL176" s="6"/>
      <c r="AM176" s="6"/>
      <c r="AN176" s="6"/>
      <c r="AO176" s="6"/>
      <c r="AP176" s="6"/>
      <c r="AQ176" s="6"/>
      <c r="AR176" s="6"/>
      <c r="AS176" s="6"/>
    </row>
    <row r="177" spans="1:45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12"/>
      <c r="AK177" s="12"/>
      <c r="AL177" s="6"/>
      <c r="AM177" s="6"/>
      <c r="AN177" s="6"/>
      <c r="AO177" s="6"/>
      <c r="AP177" s="6"/>
      <c r="AQ177" s="6"/>
      <c r="AR177" s="6"/>
      <c r="AS177" s="6"/>
    </row>
    <row r="178" spans="1:45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12"/>
      <c r="AK178" s="12"/>
      <c r="AL178" s="6"/>
      <c r="AM178" s="6"/>
      <c r="AN178" s="6"/>
      <c r="AO178" s="6"/>
      <c r="AP178" s="6"/>
      <c r="AQ178" s="6"/>
      <c r="AR178" s="6"/>
      <c r="AS178" s="6"/>
    </row>
    <row r="179" spans="1:45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12"/>
      <c r="AK179" s="12"/>
      <c r="AL179" s="6"/>
      <c r="AM179" s="6"/>
      <c r="AN179" s="6"/>
      <c r="AO179" s="6"/>
      <c r="AP179" s="6"/>
      <c r="AQ179" s="6"/>
      <c r="AR179" s="6"/>
      <c r="AS179" s="6"/>
    </row>
    <row r="180" spans="1:45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12"/>
      <c r="AK180" s="12"/>
      <c r="AL180" s="6"/>
      <c r="AM180" s="6"/>
      <c r="AN180" s="6"/>
      <c r="AO180" s="6"/>
      <c r="AP180" s="6"/>
      <c r="AQ180" s="6"/>
      <c r="AR180" s="6"/>
      <c r="AS180" s="6"/>
    </row>
    <row r="181" spans="1:45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12"/>
      <c r="AK181" s="12"/>
      <c r="AL181" s="6"/>
      <c r="AM181" s="6"/>
      <c r="AN181" s="6"/>
      <c r="AO181" s="6"/>
      <c r="AP181" s="6"/>
      <c r="AQ181" s="6"/>
      <c r="AR181" s="6"/>
      <c r="AS181" s="6"/>
    </row>
    <row r="182" spans="1:45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12"/>
      <c r="AK182" s="12"/>
      <c r="AL182" s="6"/>
      <c r="AM182" s="6"/>
      <c r="AN182" s="6"/>
      <c r="AO182" s="6"/>
      <c r="AP182" s="6"/>
      <c r="AQ182" s="6"/>
      <c r="AR182" s="6"/>
      <c r="AS182" s="6"/>
    </row>
    <row r="183" spans="1:45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12"/>
      <c r="AK183" s="12"/>
      <c r="AL183" s="6"/>
      <c r="AM183" s="6"/>
      <c r="AN183" s="6"/>
      <c r="AO183" s="6"/>
      <c r="AP183" s="6"/>
      <c r="AQ183" s="6"/>
      <c r="AR183" s="6"/>
      <c r="AS183" s="6"/>
    </row>
    <row r="184" spans="1:45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12"/>
      <c r="AK184" s="12"/>
      <c r="AL184" s="6"/>
      <c r="AM184" s="6"/>
      <c r="AN184" s="6"/>
      <c r="AO184" s="6"/>
      <c r="AP184" s="6"/>
      <c r="AQ184" s="6"/>
      <c r="AR184" s="6"/>
      <c r="AS184" s="6"/>
    </row>
    <row r="185" spans="1:4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12"/>
      <c r="AK185" s="12"/>
      <c r="AL185" s="6"/>
      <c r="AM185" s="6"/>
      <c r="AN185" s="6"/>
      <c r="AO185" s="6"/>
      <c r="AP185" s="6"/>
      <c r="AQ185" s="6"/>
      <c r="AR185" s="6"/>
      <c r="AS185" s="6"/>
    </row>
    <row r="186" spans="1:45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12"/>
      <c r="AK186" s="12"/>
      <c r="AL186" s="6"/>
      <c r="AM186" s="6"/>
      <c r="AN186" s="6"/>
      <c r="AO186" s="6"/>
      <c r="AP186" s="6"/>
      <c r="AQ186" s="6"/>
      <c r="AR186" s="6"/>
      <c r="AS186" s="6"/>
    </row>
    <row r="187" spans="1:45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12"/>
      <c r="AK187" s="12"/>
      <c r="AL187" s="6"/>
      <c r="AM187" s="6"/>
      <c r="AN187" s="6"/>
      <c r="AO187" s="6"/>
      <c r="AP187" s="6"/>
      <c r="AQ187" s="6"/>
      <c r="AR187" s="6"/>
      <c r="AS187" s="6"/>
    </row>
    <row r="188" spans="1:45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12"/>
      <c r="AK188" s="12"/>
      <c r="AL188" s="6"/>
      <c r="AM188" s="6"/>
      <c r="AN188" s="6"/>
      <c r="AO188" s="6"/>
      <c r="AP188" s="6"/>
      <c r="AQ188" s="6"/>
      <c r="AR188" s="6"/>
      <c r="AS188" s="6"/>
    </row>
    <row r="189" spans="1:45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12"/>
      <c r="AK189" s="12"/>
      <c r="AL189" s="6"/>
      <c r="AM189" s="6"/>
      <c r="AN189" s="6"/>
      <c r="AO189" s="6"/>
      <c r="AP189" s="6"/>
      <c r="AQ189" s="6"/>
      <c r="AR189" s="6"/>
      <c r="AS189" s="6"/>
    </row>
    <row r="190" spans="1:45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12"/>
      <c r="AK190" s="12"/>
      <c r="AL190" s="6"/>
      <c r="AM190" s="6"/>
      <c r="AN190" s="6"/>
      <c r="AO190" s="6"/>
      <c r="AP190" s="6"/>
      <c r="AQ190" s="6"/>
      <c r="AR190" s="6"/>
      <c r="AS190" s="6"/>
    </row>
    <row r="191" spans="1:45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12"/>
      <c r="AK191" s="12"/>
      <c r="AL191" s="6"/>
      <c r="AM191" s="6"/>
      <c r="AN191" s="6"/>
      <c r="AO191" s="6"/>
      <c r="AP191" s="6"/>
      <c r="AQ191" s="6"/>
      <c r="AR191" s="6"/>
      <c r="AS191" s="6"/>
    </row>
    <row r="192" spans="1:45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12"/>
      <c r="AK192" s="12"/>
      <c r="AL192" s="6"/>
      <c r="AM192" s="6"/>
      <c r="AN192" s="6"/>
      <c r="AO192" s="6"/>
      <c r="AP192" s="6"/>
      <c r="AQ192" s="6"/>
      <c r="AR192" s="6"/>
      <c r="AS192" s="6"/>
    </row>
    <row r="193" spans="1:45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12"/>
      <c r="AK193" s="12"/>
      <c r="AL193" s="6"/>
      <c r="AM193" s="6"/>
      <c r="AN193" s="6"/>
      <c r="AO193" s="6"/>
      <c r="AP193" s="6"/>
      <c r="AQ193" s="6"/>
      <c r="AR193" s="6"/>
      <c r="AS193" s="6"/>
    </row>
    <row r="194" spans="1:45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12"/>
      <c r="AK194" s="12"/>
      <c r="AL194" s="6"/>
      <c r="AM194" s="6"/>
      <c r="AN194" s="6"/>
      <c r="AO194" s="6"/>
      <c r="AP194" s="6"/>
      <c r="AQ194" s="6"/>
      <c r="AR194" s="6"/>
      <c r="AS194" s="6"/>
    </row>
    <row r="195" spans="1:4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12"/>
      <c r="AK195" s="12"/>
      <c r="AL195" s="6"/>
      <c r="AM195" s="6"/>
      <c r="AN195" s="6"/>
      <c r="AO195" s="6"/>
      <c r="AP195" s="6"/>
      <c r="AQ195" s="6"/>
      <c r="AR195" s="6"/>
      <c r="AS195" s="6"/>
    </row>
    <row r="196" spans="1:45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12"/>
      <c r="AK196" s="12"/>
      <c r="AL196" s="6"/>
      <c r="AM196" s="6"/>
      <c r="AN196" s="6"/>
      <c r="AO196" s="6"/>
      <c r="AP196" s="6"/>
      <c r="AQ196" s="6"/>
      <c r="AR196" s="6"/>
      <c r="AS196" s="6"/>
    </row>
    <row r="197" spans="1:45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12"/>
      <c r="AK197" s="12"/>
      <c r="AL197" s="6"/>
      <c r="AM197" s="6"/>
      <c r="AN197" s="6"/>
      <c r="AO197" s="6"/>
      <c r="AP197" s="6"/>
      <c r="AQ197" s="6"/>
      <c r="AR197" s="6"/>
      <c r="AS197" s="6"/>
    </row>
    <row r="198" spans="1:45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12"/>
      <c r="AK198" s="12"/>
      <c r="AL198" s="6"/>
      <c r="AM198" s="6"/>
      <c r="AN198" s="6"/>
      <c r="AO198" s="6"/>
      <c r="AP198" s="6"/>
      <c r="AQ198" s="6"/>
      <c r="AR198" s="6"/>
      <c r="AS198" s="6"/>
    </row>
    <row r="199" spans="1:45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12"/>
      <c r="AK199" s="12"/>
      <c r="AL199" s="6"/>
      <c r="AM199" s="6"/>
      <c r="AN199" s="6"/>
      <c r="AO199" s="6"/>
      <c r="AP199" s="6"/>
      <c r="AQ199" s="6"/>
      <c r="AR199" s="6"/>
      <c r="AS199" s="6"/>
    </row>
    <row r="200" spans="1:45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12"/>
      <c r="AK200" s="12"/>
      <c r="AL200" s="6"/>
      <c r="AM200" s="6"/>
      <c r="AN200" s="6"/>
      <c r="AO200" s="6"/>
      <c r="AP200" s="6"/>
      <c r="AQ200" s="6"/>
      <c r="AR200" s="6"/>
      <c r="AS200" s="6"/>
    </row>
    <row r="201" spans="1:45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12"/>
      <c r="AK201" s="12"/>
      <c r="AL201" s="6"/>
      <c r="AM201" s="6"/>
      <c r="AN201" s="6"/>
      <c r="AO201" s="6"/>
      <c r="AP201" s="6"/>
      <c r="AQ201" s="6"/>
      <c r="AR201" s="6"/>
      <c r="AS201" s="6"/>
    </row>
    <row r="202" spans="1:45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12"/>
      <c r="AK202" s="12"/>
      <c r="AL202" s="6"/>
      <c r="AM202" s="6"/>
      <c r="AN202" s="6"/>
      <c r="AO202" s="6"/>
      <c r="AP202" s="6"/>
      <c r="AQ202" s="6"/>
      <c r="AR202" s="6"/>
      <c r="AS202" s="6"/>
    </row>
    <row r="203" spans="1:45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12"/>
      <c r="AK203" s="12"/>
      <c r="AL203" s="6"/>
      <c r="AM203" s="6"/>
      <c r="AN203" s="6"/>
      <c r="AO203" s="6"/>
      <c r="AP203" s="6"/>
      <c r="AQ203" s="6"/>
      <c r="AR203" s="6"/>
      <c r="AS203" s="6"/>
    </row>
    <row r="204" spans="1:45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12"/>
      <c r="AK204" s="12"/>
      <c r="AL204" s="6"/>
      <c r="AM204" s="6"/>
      <c r="AN204" s="6"/>
      <c r="AO204" s="6"/>
      <c r="AP204" s="6"/>
      <c r="AQ204" s="6"/>
      <c r="AR204" s="6"/>
      <c r="AS204" s="6"/>
    </row>
    <row r="205" spans="1:4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12"/>
      <c r="AK205" s="12"/>
      <c r="AL205" s="6"/>
      <c r="AM205" s="6"/>
      <c r="AN205" s="6"/>
      <c r="AO205" s="6"/>
      <c r="AP205" s="6"/>
      <c r="AQ205" s="6"/>
      <c r="AR205" s="6"/>
      <c r="AS205" s="6"/>
    </row>
    <row r="206" spans="1:45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12"/>
      <c r="AK206" s="12"/>
      <c r="AL206" s="6"/>
      <c r="AM206" s="6"/>
      <c r="AN206" s="6"/>
      <c r="AO206" s="6"/>
      <c r="AP206" s="6"/>
      <c r="AQ206" s="6"/>
      <c r="AR206" s="6"/>
      <c r="AS206" s="6"/>
    </row>
    <row r="207" spans="1:45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12"/>
      <c r="AK207" s="12"/>
      <c r="AL207" s="6"/>
      <c r="AM207" s="6"/>
      <c r="AN207" s="6"/>
      <c r="AO207" s="6"/>
      <c r="AP207" s="6"/>
      <c r="AQ207" s="6"/>
      <c r="AR207" s="6"/>
      <c r="AS207" s="6"/>
    </row>
    <row r="208" spans="1:45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12"/>
      <c r="AK208" s="12"/>
      <c r="AL208" s="6"/>
      <c r="AM208" s="6"/>
      <c r="AN208" s="6"/>
      <c r="AO208" s="6"/>
      <c r="AP208" s="6"/>
      <c r="AQ208" s="6"/>
      <c r="AR208" s="6"/>
      <c r="AS208" s="6"/>
    </row>
    <row r="209" spans="1:45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12"/>
      <c r="AK209" s="12"/>
      <c r="AL209" s="6"/>
      <c r="AM209" s="6"/>
      <c r="AN209" s="6"/>
      <c r="AO209" s="6"/>
      <c r="AP209" s="6"/>
      <c r="AQ209" s="6"/>
      <c r="AR209" s="6"/>
      <c r="AS209" s="6"/>
    </row>
    <row r="210" spans="1:45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12"/>
      <c r="AK210" s="12"/>
      <c r="AL210" s="6"/>
      <c r="AM210" s="6"/>
      <c r="AN210" s="6"/>
      <c r="AO210" s="6"/>
      <c r="AP210" s="6"/>
      <c r="AQ210" s="6"/>
      <c r="AR210" s="6"/>
      <c r="AS210" s="6"/>
    </row>
    <row r="211" spans="1:45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2"/>
      <c r="AK211" s="12"/>
      <c r="AL211" s="6"/>
      <c r="AM211" s="6"/>
      <c r="AN211" s="6"/>
      <c r="AO211" s="6"/>
      <c r="AP211" s="6"/>
      <c r="AQ211" s="6"/>
      <c r="AR211" s="6"/>
      <c r="AS211" s="6"/>
    </row>
    <row r="212" spans="1:45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12"/>
      <c r="AK212" s="12"/>
      <c r="AL212" s="6"/>
      <c r="AM212" s="6"/>
      <c r="AN212" s="6"/>
      <c r="AO212" s="6"/>
      <c r="AP212" s="6"/>
      <c r="AQ212" s="6"/>
      <c r="AR212" s="6"/>
      <c r="AS212" s="6"/>
    </row>
    <row r="213" spans="1:45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2"/>
      <c r="AK213" s="12"/>
      <c r="AL213" s="6"/>
      <c r="AM213" s="6"/>
      <c r="AN213" s="6"/>
      <c r="AO213" s="6"/>
      <c r="AP213" s="6"/>
      <c r="AQ213" s="6"/>
      <c r="AR213" s="6"/>
      <c r="AS213" s="6"/>
    </row>
    <row r="214" spans="1:45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12"/>
      <c r="AK214" s="12"/>
      <c r="AL214" s="6"/>
      <c r="AM214" s="6"/>
      <c r="AN214" s="6"/>
      <c r="AO214" s="6"/>
      <c r="AP214" s="6"/>
      <c r="AQ214" s="6"/>
      <c r="AR214" s="6"/>
      <c r="AS214" s="6"/>
    </row>
    <row r="215" spans="1:4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12"/>
      <c r="AK215" s="12"/>
      <c r="AL215" s="6"/>
      <c r="AM215" s="6"/>
      <c r="AN215" s="6"/>
      <c r="AO215" s="6"/>
      <c r="AP215" s="6"/>
      <c r="AQ215" s="6"/>
      <c r="AR215" s="6"/>
      <c r="AS215" s="6"/>
    </row>
    <row r="216" spans="1:45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12"/>
      <c r="AK216" s="12"/>
      <c r="AL216" s="6"/>
      <c r="AM216" s="6"/>
      <c r="AN216" s="6"/>
      <c r="AO216" s="6"/>
      <c r="AP216" s="6"/>
      <c r="AQ216" s="6"/>
      <c r="AR216" s="6"/>
      <c r="AS216" s="6"/>
    </row>
    <row r="217" spans="1:45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12"/>
      <c r="AK217" s="12"/>
      <c r="AL217" s="6"/>
      <c r="AM217" s="6"/>
      <c r="AN217" s="6"/>
      <c r="AO217" s="6"/>
      <c r="AP217" s="6"/>
      <c r="AQ217" s="6"/>
      <c r="AR217" s="6"/>
      <c r="AS217" s="6"/>
    </row>
    <row r="218" spans="1:45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12"/>
      <c r="AK218" s="12"/>
      <c r="AL218" s="6"/>
      <c r="AM218" s="6"/>
      <c r="AN218" s="6"/>
      <c r="AO218" s="6"/>
      <c r="AP218" s="6"/>
      <c r="AQ218" s="6"/>
      <c r="AR218" s="6"/>
      <c r="AS218" s="6"/>
    </row>
    <row r="219" spans="1:45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12"/>
      <c r="AK219" s="12"/>
      <c r="AL219" s="6"/>
      <c r="AM219" s="6"/>
      <c r="AN219" s="6"/>
      <c r="AO219" s="6"/>
      <c r="AP219" s="6"/>
      <c r="AQ219" s="6"/>
      <c r="AR219" s="6"/>
      <c r="AS219" s="6"/>
    </row>
    <row r="220" spans="1:45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12"/>
      <c r="AK220" s="12"/>
      <c r="AL220" s="6"/>
      <c r="AM220" s="6"/>
      <c r="AN220" s="6"/>
      <c r="AO220" s="6"/>
      <c r="AP220" s="6"/>
      <c r="AQ220" s="6"/>
      <c r="AR220" s="6"/>
      <c r="AS220" s="6"/>
    </row>
    <row r="221" spans="1:45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12"/>
      <c r="AK221" s="12"/>
      <c r="AL221" s="6"/>
      <c r="AM221" s="6"/>
      <c r="AN221" s="6"/>
      <c r="AO221" s="6"/>
      <c r="AP221" s="6"/>
      <c r="AQ221" s="6"/>
      <c r="AR221" s="6"/>
      <c r="AS221" s="6"/>
    </row>
    <row r="222" spans="1:45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12"/>
      <c r="AK222" s="12"/>
      <c r="AL222" s="6"/>
      <c r="AM222" s="6"/>
      <c r="AN222" s="6"/>
      <c r="AO222" s="6"/>
      <c r="AP222" s="6"/>
      <c r="AQ222" s="6"/>
      <c r="AR222" s="6"/>
      <c r="AS222" s="6"/>
    </row>
    <row r="223" spans="1:45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12"/>
      <c r="AK223" s="12"/>
      <c r="AL223" s="6"/>
      <c r="AM223" s="6"/>
      <c r="AN223" s="6"/>
      <c r="AO223" s="6"/>
      <c r="AP223" s="6"/>
      <c r="AQ223" s="6"/>
      <c r="AR223" s="6"/>
      <c r="AS223" s="6"/>
    </row>
    <row r="224" spans="1:45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12"/>
      <c r="AK224" s="12"/>
      <c r="AL224" s="6"/>
      <c r="AM224" s="6"/>
      <c r="AN224" s="6"/>
      <c r="AO224" s="6"/>
      <c r="AP224" s="6"/>
      <c r="AQ224" s="6"/>
      <c r="AR224" s="6"/>
      <c r="AS224" s="6"/>
    </row>
    <row r="225" spans="1:4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12"/>
      <c r="AK225" s="12"/>
      <c r="AL225" s="6"/>
      <c r="AM225" s="6"/>
      <c r="AN225" s="6"/>
      <c r="AO225" s="6"/>
      <c r="AP225" s="6"/>
      <c r="AQ225" s="6"/>
      <c r="AR225" s="6"/>
      <c r="AS225" s="6"/>
    </row>
    <row r="226" spans="1:45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12"/>
      <c r="AK226" s="12"/>
      <c r="AL226" s="6"/>
      <c r="AM226" s="6"/>
      <c r="AN226" s="6"/>
      <c r="AO226" s="6"/>
      <c r="AP226" s="6"/>
      <c r="AQ226" s="6"/>
      <c r="AR226" s="6"/>
      <c r="AS226" s="6"/>
    </row>
    <row r="227" spans="1:45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12"/>
      <c r="AK227" s="12"/>
      <c r="AL227" s="6"/>
      <c r="AM227" s="6"/>
      <c r="AN227" s="6"/>
      <c r="AO227" s="6"/>
      <c r="AP227" s="6"/>
      <c r="AQ227" s="6"/>
      <c r="AR227" s="6"/>
      <c r="AS227" s="6"/>
    </row>
    <row r="228" spans="1:45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12"/>
      <c r="AK228" s="12"/>
      <c r="AL228" s="6"/>
      <c r="AM228" s="6"/>
      <c r="AN228" s="6"/>
      <c r="AO228" s="6"/>
      <c r="AP228" s="6"/>
      <c r="AQ228" s="6"/>
      <c r="AR228" s="6"/>
      <c r="AS228" s="6"/>
    </row>
    <row r="229" spans="1:45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12"/>
      <c r="AK229" s="12"/>
      <c r="AL229" s="6"/>
      <c r="AM229" s="6"/>
      <c r="AN229" s="6"/>
      <c r="AO229" s="6"/>
      <c r="AP229" s="6"/>
      <c r="AQ229" s="6"/>
      <c r="AR229" s="6"/>
      <c r="AS229" s="6"/>
    </row>
    <row r="230" spans="1:45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12"/>
      <c r="AK230" s="12"/>
      <c r="AL230" s="6"/>
      <c r="AM230" s="6"/>
      <c r="AN230" s="6"/>
      <c r="AO230" s="6"/>
      <c r="AP230" s="6"/>
      <c r="AQ230" s="6"/>
      <c r="AR230" s="6"/>
      <c r="AS230" s="6"/>
    </row>
    <row r="231" spans="1:45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12"/>
      <c r="AK231" s="12"/>
      <c r="AL231" s="6"/>
      <c r="AM231" s="6"/>
      <c r="AN231" s="6"/>
      <c r="AO231" s="6"/>
      <c r="AP231" s="6"/>
      <c r="AQ231" s="6"/>
      <c r="AR231" s="6"/>
      <c r="AS231" s="6"/>
    </row>
    <row r="232" spans="1:45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12"/>
      <c r="AK232" s="12"/>
      <c r="AL232" s="6"/>
      <c r="AM232" s="6"/>
      <c r="AN232" s="6"/>
      <c r="AO232" s="6"/>
      <c r="AP232" s="6"/>
      <c r="AQ232" s="6"/>
      <c r="AR232" s="6"/>
      <c r="AS232" s="6"/>
    </row>
    <row r="233" spans="1:45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12"/>
      <c r="AK233" s="12"/>
      <c r="AL233" s="6"/>
      <c r="AM233" s="6"/>
      <c r="AN233" s="6"/>
      <c r="AO233" s="6"/>
      <c r="AP233" s="6"/>
      <c r="AQ233" s="6"/>
      <c r="AR233" s="6"/>
      <c r="AS233" s="6"/>
    </row>
    <row r="234" spans="1:45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12"/>
      <c r="AK234" s="12"/>
      <c r="AL234" s="6"/>
      <c r="AM234" s="6"/>
      <c r="AN234" s="6"/>
      <c r="AO234" s="6"/>
      <c r="AP234" s="6"/>
      <c r="AQ234" s="6"/>
      <c r="AR234" s="6"/>
      <c r="AS234" s="6"/>
    </row>
    <row r="235" spans="1:4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12"/>
      <c r="AK235" s="12"/>
      <c r="AL235" s="6"/>
      <c r="AM235" s="6"/>
      <c r="AN235" s="6"/>
      <c r="AO235" s="6"/>
      <c r="AP235" s="6"/>
      <c r="AQ235" s="6"/>
      <c r="AR235" s="6"/>
      <c r="AS235" s="6"/>
    </row>
    <row r="236" spans="1:45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12"/>
      <c r="AK236" s="12"/>
      <c r="AL236" s="6"/>
      <c r="AM236" s="6"/>
      <c r="AN236" s="6"/>
      <c r="AO236" s="6"/>
      <c r="AP236" s="6"/>
      <c r="AQ236" s="6"/>
      <c r="AR236" s="6"/>
      <c r="AS236" s="6"/>
    </row>
    <row r="237" spans="1:45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12"/>
      <c r="AK237" s="12"/>
      <c r="AL237" s="6"/>
      <c r="AM237" s="6"/>
      <c r="AN237" s="6"/>
      <c r="AO237" s="6"/>
      <c r="AP237" s="6"/>
      <c r="AQ237" s="6"/>
      <c r="AR237" s="6"/>
      <c r="AS237" s="6"/>
    </row>
    <row r="238" spans="1:45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12"/>
      <c r="AK238" s="12"/>
      <c r="AL238" s="6"/>
      <c r="AM238" s="6"/>
      <c r="AN238" s="6"/>
      <c r="AO238" s="6"/>
      <c r="AP238" s="6"/>
      <c r="AQ238" s="6"/>
      <c r="AR238" s="6"/>
      <c r="AS238" s="6"/>
    </row>
    <row r="239" spans="1:45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12"/>
      <c r="AK239" s="12"/>
      <c r="AL239" s="6"/>
      <c r="AM239" s="6"/>
      <c r="AN239" s="6"/>
      <c r="AO239" s="6"/>
      <c r="AP239" s="6"/>
      <c r="AQ239" s="6"/>
      <c r="AR239" s="6"/>
      <c r="AS239" s="6"/>
    </row>
    <row r="240" spans="1:45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12"/>
      <c r="AK240" s="12"/>
      <c r="AL240" s="6"/>
      <c r="AM240" s="6"/>
      <c r="AN240" s="6"/>
      <c r="AO240" s="6"/>
      <c r="AP240" s="6"/>
      <c r="AQ240" s="6"/>
      <c r="AR240" s="6"/>
      <c r="AS240" s="6"/>
    </row>
    <row r="241" spans="1:45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2"/>
      <c r="AK241" s="12"/>
      <c r="AL241" s="6"/>
      <c r="AM241" s="6"/>
      <c r="AN241" s="6"/>
      <c r="AO241" s="6"/>
      <c r="AP241" s="6"/>
      <c r="AQ241" s="6"/>
      <c r="AR241" s="6"/>
      <c r="AS241" s="6"/>
    </row>
    <row r="242" spans="1:45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2"/>
      <c r="AK242" s="12"/>
      <c r="AL242" s="6"/>
      <c r="AM242" s="6"/>
      <c r="AN242" s="6"/>
      <c r="AO242" s="6"/>
      <c r="AP242" s="6"/>
      <c r="AQ242" s="6"/>
      <c r="AR242" s="6"/>
      <c r="AS242" s="6"/>
    </row>
    <row r="243" spans="1:45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2"/>
      <c r="AK243" s="12"/>
      <c r="AL243" s="6"/>
      <c r="AM243" s="6"/>
      <c r="AN243" s="6"/>
      <c r="AO243" s="6"/>
      <c r="AP243" s="6"/>
      <c r="AQ243" s="6"/>
      <c r="AR243" s="6"/>
      <c r="AS243" s="6"/>
    </row>
    <row r="244" spans="1:45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2"/>
      <c r="AK244" s="12"/>
      <c r="AL244" s="6"/>
      <c r="AM244" s="6"/>
      <c r="AN244" s="6"/>
      <c r="AO244" s="6"/>
      <c r="AP244" s="6"/>
      <c r="AQ244" s="6"/>
      <c r="AR244" s="6"/>
      <c r="AS244" s="6"/>
    </row>
    <row r="245" spans="1: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2"/>
      <c r="AK245" s="12"/>
      <c r="AL245" s="6"/>
      <c r="AM245" s="6"/>
      <c r="AN245" s="6"/>
      <c r="AO245" s="6"/>
      <c r="AP245" s="6"/>
      <c r="AQ245" s="6"/>
      <c r="AR245" s="6"/>
      <c r="AS245" s="6"/>
    </row>
    <row r="246" spans="1:45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2"/>
      <c r="AK246" s="12"/>
      <c r="AL246" s="6"/>
      <c r="AM246" s="6"/>
      <c r="AN246" s="6"/>
      <c r="AO246" s="6"/>
      <c r="AP246" s="6"/>
      <c r="AQ246" s="6"/>
      <c r="AR246" s="6"/>
      <c r="AS246" s="6"/>
    </row>
    <row r="247" spans="1:45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12"/>
      <c r="AK247" s="12"/>
      <c r="AL247" s="6"/>
      <c r="AM247" s="6"/>
      <c r="AN247" s="6"/>
      <c r="AO247" s="6"/>
      <c r="AP247" s="6"/>
      <c r="AQ247" s="6"/>
      <c r="AR247" s="6"/>
      <c r="AS247" s="6"/>
    </row>
    <row r="248" spans="1:45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12"/>
      <c r="AK248" s="12"/>
      <c r="AL248" s="6"/>
      <c r="AM248" s="6"/>
      <c r="AN248" s="6"/>
      <c r="AO248" s="6"/>
      <c r="AP248" s="6"/>
      <c r="AQ248" s="6"/>
      <c r="AR248" s="6"/>
      <c r="AS248" s="6"/>
    </row>
    <row r="249" spans="1:45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12"/>
      <c r="AK249" s="12"/>
      <c r="AL249" s="6"/>
      <c r="AM249" s="6"/>
      <c r="AN249" s="6"/>
      <c r="AO249" s="6"/>
      <c r="AP249" s="6"/>
      <c r="AQ249" s="6"/>
      <c r="AR249" s="6"/>
      <c r="AS249" s="6"/>
    </row>
    <row r="250" spans="1:45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12"/>
      <c r="AK250" s="12"/>
      <c r="AL250" s="6"/>
      <c r="AM250" s="6"/>
      <c r="AN250" s="6"/>
      <c r="AO250" s="6"/>
      <c r="AP250" s="6"/>
      <c r="AQ250" s="6"/>
      <c r="AR250" s="6"/>
      <c r="AS250" s="6"/>
    </row>
    <row r="251" spans="1:45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12"/>
      <c r="AK251" s="12"/>
      <c r="AL251" s="6"/>
      <c r="AM251" s="6"/>
      <c r="AN251" s="6"/>
      <c r="AO251" s="6"/>
      <c r="AP251" s="6"/>
      <c r="AQ251" s="6"/>
      <c r="AR251" s="6"/>
      <c r="AS251" s="6"/>
    </row>
    <row r="252" spans="1:45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2"/>
      <c r="AK252" s="12"/>
      <c r="AL252" s="6"/>
      <c r="AM252" s="6"/>
      <c r="AN252" s="6"/>
      <c r="AO252" s="6"/>
      <c r="AP252" s="6"/>
      <c r="AQ252" s="6"/>
      <c r="AR252" s="6"/>
      <c r="AS252" s="6"/>
    </row>
    <row r="253" spans="1:45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2"/>
      <c r="AK253" s="12"/>
      <c r="AL253" s="6"/>
      <c r="AM253" s="6"/>
      <c r="AN253" s="6"/>
      <c r="AO253" s="6"/>
      <c r="AP253" s="6"/>
      <c r="AQ253" s="6"/>
      <c r="AR253" s="6"/>
      <c r="AS253" s="6"/>
    </row>
    <row r="254" spans="1:45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2"/>
      <c r="AK254" s="12"/>
      <c r="AL254" s="6"/>
      <c r="AM254" s="6"/>
      <c r="AN254" s="6"/>
      <c r="AO254" s="6"/>
      <c r="AP254" s="6"/>
      <c r="AQ254" s="6"/>
      <c r="AR254" s="6"/>
      <c r="AS254" s="6"/>
    </row>
    <row r="255" spans="1:4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2"/>
      <c r="AK255" s="12"/>
      <c r="AL255" s="6"/>
      <c r="AM255" s="6"/>
      <c r="AN255" s="6"/>
      <c r="AO255" s="6"/>
      <c r="AP255" s="6"/>
      <c r="AQ255" s="6"/>
      <c r="AR255" s="6"/>
      <c r="AS255" s="6"/>
    </row>
    <row r="256" spans="1:45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2"/>
      <c r="AK256" s="12"/>
      <c r="AL256" s="6"/>
      <c r="AM256" s="6"/>
      <c r="AN256" s="6"/>
      <c r="AO256" s="6"/>
      <c r="AP256" s="6"/>
      <c r="AQ256" s="6"/>
      <c r="AR256" s="6"/>
      <c r="AS256" s="6"/>
    </row>
    <row r="257" spans="1:45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2"/>
      <c r="AK257" s="12"/>
      <c r="AL257" s="6"/>
      <c r="AM257" s="6"/>
      <c r="AN257" s="6"/>
      <c r="AO257" s="6"/>
      <c r="AP257" s="6"/>
      <c r="AQ257" s="6"/>
      <c r="AR257" s="6"/>
      <c r="AS257" s="6"/>
    </row>
    <row r="258" spans="1:45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2"/>
      <c r="AK258" s="12"/>
      <c r="AL258" s="6"/>
      <c r="AM258" s="6"/>
      <c r="AN258" s="6"/>
      <c r="AO258" s="6"/>
      <c r="AP258" s="6"/>
      <c r="AQ258" s="6"/>
      <c r="AR258" s="6"/>
      <c r="AS258" s="6"/>
    </row>
    <row r="259" spans="1:45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12"/>
      <c r="AK259" s="12"/>
      <c r="AL259" s="6"/>
      <c r="AM259" s="6"/>
      <c r="AN259" s="6"/>
      <c r="AO259" s="6"/>
      <c r="AP259" s="6"/>
      <c r="AQ259" s="6"/>
      <c r="AR259" s="6"/>
      <c r="AS259" s="6"/>
    </row>
    <row r="260" spans="1:45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12"/>
      <c r="AK260" s="12"/>
      <c r="AL260" s="6"/>
      <c r="AM260" s="6"/>
      <c r="AN260" s="6"/>
      <c r="AO260" s="6"/>
      <c r="AP260" s="6"/>
      <c r="AQ260" s="6"/>
      <c r="AR260" s="6"/>
      <c r="AS260" s="6"/>
    </row>
    <row r="261" spans="1:45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2"/>
      <c r="AK261" s="12"/>
      <c r="AL261" s="6"/>
      <c r="AM261" s="6"/>
      <c r="AN261" s="6"/>
      <c r="AO261" s="6"/>
      <c r="AP261" s="6"/>
      <c r="AQ261" s="6"/>
      <c r="AR261" s="6"/>
      <c r="AS261" s="6"/>
    </row>
    <row r="262" spans="1:45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12"/>
      <c r="AK262" s="12"/>
      <c r="AL262" s="6"/>
      <c r="AM262" s="6"/>
      <c r="AN262" s="6"/>
      <c r="AO262" s="6"/>
      <c r="AP262" s="6"/>
      <c r="AQ262" s="6"/>
      <c r="AR262" s="6"/>
      <c r="AS262" s="6"/>
    </row>
    <row r="263" spans="1:45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12"/>
      <c r="AK263" s="12"/>
      <c r="AL263" s="6"/>
      <c r="AM263" s="6"/>
      <c r="AN263" s="6"/>
      <c r="AO263" s="6"/>
      <c r="AP263" s="6"/>
      <c r="AQ263" s="6"/>
      <c r="AR263" s="6"/>
      <c r="AS263" s="6"/>
    </row>
    <row r="264" spans="1:45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12"/>
      <c r="AK264" s="12"/>
      <c r="AL264" s="6"/>
      <c r="AM264" s="6"/>
      <c r="AN264" s="6"/>
      <c r="AO264" s="6"/>
      <c r="AP264" s="6"/>
      <c r="AQ264" s="6"/>
      <c r="AR264" s="6"/>
      <c r="AS264" s="6"/>
    </row>
    <row r="265" spans="1:4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12"/>
      <c r="AK265" s="12"/>
      <c r="AL265" s="6"/>
      <c r="AM265" s="6"/>
      <c r="AN265" s="6"/>
      <c r="AO265" s="6"/>
      <c r="AP265" s="6"/>
      <c r="AQ265" s="6"/>
      <c r="AR265" s="6"/>
      <c r="AS265" s="6"/>
    </row>
    <row r="266" spans="1:45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12"/>
      <c r="AK266" s="12"/>
      <c r="AL266" s="6"/>
      <c r="AM266" s="6"/>
      <c r="AN266" s="6"/>
      <c r="AO266" s="6"/>
      <c r="AP266" s="6"/>
      <c r="AQ266" s="6"/>
      <c r="AR266" s="6"/>
      <c r="AS266" s="6"/>
    </row>
    <row r="267" spans="1:45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12"/>
      <c r="AK267" s="12"/>
      <c r="AL267" s="6"/>
      <c r="AM267" s="6"/>
      <c r="AN267" s="6"/>
      <c r="AO267" s="6"/>
      <c r="AP267" s="6"/>
      <c r="AQ267" s="6"/>
      <c r="AR267" s="6"/>
      <c r="AS267" s="6"/>
    </row>
    <row r="268" spans="1:45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12"/>
      <c r="AK268" s="12"/>
      <c r="AL268" s="6"/>
      <c r="AM268" s="6"/>
      <c r="AN268" s="6"/>
      <c r="AO268" s="6"/>
      <c r="AP268" s="6"/>
      <c r="AQ268" s="6"/>
      <c r="AR268" s="6"/>
      <c r="AS268" s="6"/>
    </row>
    <row r="269" spans="1:45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12"/>
      <c r="AK269" s="12"/>
      <c r="AL269" s="6"/>
      <c r="AM269" s="6"/>
      <c r="AN269" s="6"/>
      <c r="AO269" s="6"/>
      <c r="AP269" s="6"/>
      <c r="AQ269" s="6"/>
      <c r="AR269" s="6"/>
      <c r="AS269" s="6"/>
    </row>
    <row r="270" spans="1:45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12"/>
      <c r="AK270" s="12"/>
      <c r="AL270" s="6"/>
      <c r="AM270" s="6"/>
      <c r="AN270" s="6"/>
      <c r="AO270" s="6"/>
      <c r="AP270" s="6"/>
      <c r="AQ270" s="6"/>
      <c r="AR270" s="6"/>
      <c r="AS270" s="6"/>
    </row>
    <row r="271" spans="1:45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12"/>
      <c r="AK271" s="12"/>
      <c r="AL271" s="6"/>
      <c r="AM271" s="6"/>
      <c r="AN271" s="6"/>
      <c r="AO271" s="6"/>
      <c r="AP271" s="6"/>
      <c r="AQ271" s="6"/>
      <c r="AR271" s="6"/>
      <c r="AS271" s="6"/>
    </row>
    <row r="272" spans="1:45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12"/>
      <c r="AK272" s="12"/>
      <c r="AL272" s="6"/>
      <c r="AM272" s="6"/>
      <c r="AN272" s="6"/>
      <c r="AO272" s="6"/>
      <c r="AP272" s="6"/>
      <c r="AQ272" s="6"/>
      <c r="AR272" s="6"/>
      <c r="AS272" s="6"/>
    </row>
    <row r="273" spans="1:45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12"/>
      <c r="AK273" s="12"/>
      <c r="AL273" s="6"/>
      <c r="AM273" s="6"/>
      <c r="AN273" s="6"/>
      <c r="AO273" s="6"/>
      <c r="AP273" s="6"/>
      <c r="AQ273" s="6"/>
      <c r="AR273" s="6"/>
      <c r="AS273" s="6"/>
    </row>
    <row r="274" spans="1:45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12"/>
      <c r="AK274" s="12"/>
      <c r="AL274" s="6"/>
      <c r="AM274" s="6"/>
      <c r="AN274" s="6"/>
      <c r="AO274" s="6"/>
      <c r="AP274" s="6"/>
      <c r="AQ274" s="6"/>
      <c r="AR274" s="6"/>
      <c r="AS274" s="6"/>
    </row>
    <row r="275" spans="1:4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12"/>
      <c r="AK275" s="12"/>
      <c r="AL275" s="6"/>
      <c r="AM275" s="6"/>
      <c r="AN275" s="6"/>
      <c r="AO275" s="6"/>
      <c r="AP275" s="6"/>
      <c r="AQ275" s="6"/>
      <c r="AR275" s="6"/>
      <c r="AS275" s="6"/>
    </row>
    <row r="276" spans="1:45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12"/>
      <c r="AK276" s="12"/>
      <c r="AL276" s="6"/>
      <c r="AM276" s="6"/>
      <c r="AN276" s="6"/>
      <c r="AO276" s="6"/>
      <c r="AP276" s="6"/>
      <c r="AQ276" s="6"/>
      <c r="AR276" s="6"/>
      <c r="AS276" s="6"/>
    </row>
    <row r="277" spans="1:45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12"/>
      <c r="AK277" s="12"/>
      <c r="AL277" s="6"/>
      <c r="AM277" s="6"/>
      <c r="AN277" s="6"/>
      <c r="AO277" s="6"/>
      <c r="AP277" s="6"/>
      <c r="AQ277" s="6"/>
      <c r="AR277" s="6"/>
      <c r="AS277" s="6"/>
    </row>
    <row r="278" spans="1:45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12"/>
      <c r="AK278" s="12"/>
      <c r="AL278" s="6"/>
      <c r="AM278" s="6"/>
      <c r="AN278" s="6"/>
      <c r="AO278" s="6"/>
      <c r="AP278" s="6"/>
      <c r="AQ278" s="6"/>
      <c r="AR278" s="6"/>
      <c r="AS278" s="6"/>
    </row>
    <row r="279" spans="1:45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12"/>
      <c r="AK279" s="12"/>
      <c r="AL279" s="6"/>
      <c r="AM279" s="6"/>
      <c r="AN279" s="6"/>
      <c r="AO279" s="6"/>
      <c r="AP279" s="6"/>
      <c r="AQ279" s="6"/>
      <c r="AR279" s="6"/>
      <c r="AS279" s="6"/>
    </row>
    <row r="280" spans="1:45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12"/>
      <c r="AK280" s="12"/>
      <c r="AL280" s="6"/>
      <c r="AM280" s="6"/>
      <c r="AN280" s="6"/>
      <c r="AO280" s="6"/>
      <c r="AP280" s="6"/>
      <c r="AQ280" s="6"/>
      <c r="AR280" s="6"/>
      <c r="AS280" s="6"/>
    </row>
    <row r="281" spans="1:45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12"/>
      <c r="AK281" s="12"/>
      <c r="AL281" s="6"/>
      <c r="AM281" s="6"/>
      <c r="AN281" s="6"/>
      <c r="AO281" s="6"/>
      <c r="AP281" s="6"/>
      <c r="AQ281" s="6"/>
      <c r="AR281" s="6"/>
      <c r="AS281" s="6"/>
    </row>
    <row r="282" spans="1:45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12"/>
      <c r="AK282" s="12"/>
      <c r="AL282" s="6"/>
      <c r="AM282" s="6"/>
      <c r="AN282" s="6"/>
      <c r="AO282" s="6"/>
      <c r="AP282" s="6"/>
      <c r="AQ282" s="6"/>
      <c r="AR282" s="6"/>
      <c r="AS282" s="6"/>
    </row>
    <row r="283" spans="1:45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12"/>
      <c r="AK283" s="12"/>
      <c r="AL283" s="6"/>
      <c r="AM283" s="6"/>
      <c r="AN283" s="6"/>
      <c r="AO283" s="6"/>
      <c r="AP283" s="6"/>
      <c r="AQ283" s="6"/>
      <c r="AR283" s="6"/>
      <c r="AS283" s="6"/>
    </row>
    <row r="284" spans="1:45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12"/>
      <c r="AK284" s="12"/>
      <c r="AL284" s="6"/>
      <c r="AM284" s="6"/>
      <c r="AN284" s="6"/>
      <c r="AO284" s="6"/>
      <c r="AP284" s="6"/>
      <c r="AQ284" s="6"/>
      <c r="AR284" s="6"/>
      <c r="AS284" s="6"/>
    </row>
    <row r="285" spans="1:4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12"/>
      <c r="AK285" s="12"/>
      <c r="AL285" s="6"/>
      <c r="AM285" s="6"/>
      <c r="AN285" s="6"/>
      <c r="AO285" s="6"/>
      <c r="AP285" s="6"/>
      <c r="AQ285" s="6"/>
      <c r="AR285" s="6"/>
      <c r="AS285" s="6"/>
    </row>
    <row r="286" spans="1:45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12"/>
      <c r="AK286" s="12"/>
      <c r="AL286" s="6"/>
      <c r="AM286" s="6"/>
      <c r="AN286" s="6"/>
      <c r="AO286" s="6"/>
      <c r="AP286" s="6"/>
      <c r="AQ286" s="6"/>
      <c r="AR286" s="6"/>
      <c r="AS286" s="6"/>
    </row>
    <row r="287" spans="1:45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12"/>
      <c r="AK287" s="12"/>
      <c r="AL287" s="6"/>
      <c r="AM287" s="6"/>
      <c r="AN287" s="6"/>
      <c r="AO287" s="6"/>
      <c r="AP287" s="6"/>
      <c r="AQ287" s="6"/>
      <c r="AR287" s="6"/>
      <c r="AS287" s="6"/>
    </row>
    <row r="288" spans="1:45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12"/>
      <c r="AK288" s="12"/>
      <c r="AL288" s="6"/>
      <c r="AM288" s="6"/>
      <c r="AN288" s="6"/>
      <c r="AO288" s="6"/>
      <c r="AP288" s="6"/>
      <c r="AQ288" s="6"/>
      <c r="AR288" s="6"/>
      <c r="AS288" s="6"/>
    </row>
    <row r="289" spans="1:45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12"/>
      <c r="AK289" s="12"/>
      <c r="AL289" s="6"/>
      <c r="AM289" s="6"/>
      <c r="AN289" s="6"/>
      <c r="AO289" s="6"/>
      <c r="AP289" s="6"/>
      <c r="AQ289" s="6"/>
      <c r="AR289" s="6"/>
      <c r="AS289" s="6"/>
    </row>
    <row r="290" spans="1:45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12"/>
      <c r="AK290" s="12"/>
      <c r="AL290" s="6"/>
      <c r="AM290" s="6"/>
      <c r="AN290" s="6"/>
      <c r="AO290" s="6"/>
      <c r="AP290" s="6"/>
      <c r="AQ290" s="6"/>
      <c r="AR290" s="6"/>
      <c r="AS290" s="6"/>
    </row>
    <row r="291" spans="1:45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12"/>
      <c r="AK291" s="12"/>
      <c r="AL291" s="6"/>
      <c r="AM291" s="6"/>
      <c r="AN291" s="6"/>
      <c r="AO291" s="6"/>
      <c r="AP291" s="6"/>
      <c r="AQ291" s="6"/>
      <c r="AR291" s="6"/>
      <c r="AS291" s="6"/>
    </row>
    <row r="292" spans="1:45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12"/>
      <c r="AK292" s="12"/>
      <c r="AL292" s="6"/>
      <c r="AM292" s="6"/>
      <c r="AN292" s="6"/>
      <c r="AO292" s="6"/>
      <c r="AP292" s="6"/>
      <c r="AQ292" s="6"/>
      <c r="AR292" s="6"/>
      <c r="AS292" s="6"/>
    </row>
    <row r="293" spans="1:45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12"/>
      <c r="AK293" s="12"/>
      <c r="AL293" s="6"/>
      <c r="AM293" s="6"/>
      <c r="AN293" s="6"/>
      <c r="AO293" s="6"/>
      <c r="AP293" s="6"/>
      <c r="AQ293" s="6"/>
      <c r="AR293" s="6"/>
      <c r="AS293" s="6"/>
    </row>
    <row r="294" spans="1:45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12"/>
      <c r="AK294" s="12"/>
      <c r="AL294" s="6"/>
      <c r="AM294" s="6"/>
      <c r="AN294" s="6"/>
      <c r="AO294" s="6"/>
      <c r="AP294" s="6"/>
      <c r="AQ294" s="6"/>
      <c r="AR294" s="6"/>
      <c r="AS294" s="6"/>
    </row>
    <row r="295" spans="1:4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2"/>
      <c r="AK295" s="12"/>
      <c r="AL295" s="6"/>
      <c r="AM295" s="6"/>
      <c r="AN295" s="6"/>
      <c r="AO295" s="6"/>
      <c r="AP295" s="6"/>
      <c r="AQ295" s="6"/>
      <c r="AR295" s="6"/>
      <c r="AS295" s="6"/>
    </row>
    <row r="296" spans="1:45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2"/>
      <c r="AK296" s="12"/>
      <c r="AL296" s="6"/>
      <c r="AM296" s="6"/>
      <c r="AN296" s="6"/>
      <c r="AO296" s="6"/>
      <c r="AP296" s="6"/>
      <c r="AQ296" s="6"/>
      <c r="AR296" s="6"/>
      <c r="AS296" s="6"/>
    </row>
    <row r="297" spans="1:45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2"/>
      <c r="AK297" s="12"/>
      <c r="AL297" s="6"/>
      <c r="AM297" s="6"/>
      <c r="AN297" s="6"/>
      <c r="AO297" s="6"/>
      <c r="AP297" s="6"/>
      <c r="AQ297" s="6"/>
      <c r="AR297" s="6"/>
      <c r="AS297" s="6"/>
    </row>
    <row r="298" spans="1:45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12"/>
      <c r="AK298" s="12"/>
      <c r="AL298" s="6"/>
      <c r="AM298" s="6"/>
      <c r="AN298" s="6"/>
      <c r="AO298" s="6"/>
      <c r="AP298" s="6"/>
      <c r="AQ298" s="6"/>
      <c r="AR298" s="6"/>
      <c r="AS298" s="6"/>
    </row>
    <row r="299" spans="1:45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12"/>
      <c r="AK299" s="12"/>
      <c r="AL299" s="6"/>
      <c r="AM299" s="6"/>
      <c r="AN299" s="6"/>
      <c r="AO299" s="6"/>
      <c r="AP299" s="6"/>
      <c r="AQ299" s="6"/>
      <c r="AR299" s="6"/>
      <c r="AS299" s="6"/>
    </row>
    <row r="300" spans="1:45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12"/>
      <c r="AK300" s="12"/>
      <c r="AL300" s="6"/>
      <c r="AM300" s="6"/>
      <c r="AN300" s="6"/>
      <c r="AO300" s="6"/>
      <c r="AP300" s="6"/>
      <c r="AQ300" s="6"/>
      <c r="AR300" s="6"/>
      <c r="AS300" s="6"/>
    </row>
    <row r="301" spans="1:45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12"/>
      <c r="AK301" s="12"/>
      <c r="AL301" s="6"/>
      <c r="AM301" s="6"/>
      <c r="AN301" s="6"/>
      <c r="AO301" s="6"/>
      <c r="AP301" s="6"/>
      <c r="AQ301" s="6"/>
      <c r="AR301" s="6"/>
      <c r="AS301" s="6"/>
    </row>
    <row r="302" spans="1:45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12"/>
      <c r="AK302" s="12"/>
      <c r="AL302" s="6"/>
      <c r="AM302" s="6"/>
      <c r="AN302" s="6"/>
      <c r="AO302" s="6"/>
      <c r="AP302" s="6"/>
      <c r="AQ302" s="6"/>
      <c r="AR302" s="6"/>
      <c r="AS302" s="6"/>
    </row>
    <row r="303" spans="1:45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12"/>
      <c r="AK303" s="12"/>
      <c r="AL303" s="6"/>
      <c r="AM303" s="6"/>
      <c r="AN303" s="6"/>
      <c r="AO303" s="6"/>
      <c r="AP303" s="6"/>
      <c r="AQ303" s="6"/>
      <c r="AR303" s="6"/>
      <c r="AS303" s="6"/>
    </row>
    <row r="304" spans="1:45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12"/>
      <c r="AK304" s="12"/>
      <c r="AL304" s="6"/>
      <c r="AM304" s="6"/>
      <c r="AN304" s="6"/>
      <c r="AO304" s="6"/>
      <c r="AP304" s="6"/>
      <c r="AQ304" s="6"/>
      <c r="AR304" s="6"/>
      <c r="AS304" s="6"/>
    </row>
    <row r="305" spans="1:4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12"/>
      <c r="AK305" s="12"/>
      <c r="AL305" s="6"/>
      <c r="AM305" s="6"/>
      <c r="AN305" s="6"/>
      <c r="AO305" s="6"/>
      <c r="AP305" s="6"/>
      <c r="AQ305" s="6"/>
      <c r="AR305" s="6"/>
      <c r="AS305" s="6"/>
    </row>
    <row r="306" spans="1:45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12"/>
      <c r="AK306" s="12"/>
      <c r="AL306" s="6"/>
      <c r="AM306" s="6"/>
      <c r="AN306" s="6"/>
      <c r="AO306" s="6"/>
      <c r="AP306" s="6"/>
      <c r="AQ306" s="6"/>
      <c r="AR306" s="6"/>
      <c r="AS306" s="6"/>
    </row>
    <row r="307" spans="1:45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12"/>
      <c r="AK307" s="12"/>
      <c r="AL307" s="6"/>
      <c r="AM307" s="6"/>
      <c r="AN307" s="6"/>
      <c r="AO307" s="6"/>
      <c r="AP307" s="6"/>
      <c r="AQ307" s="6"/>
      <c r="AR307" s="6"/>
      <c r="AS307" s="6"/>
    </row>
    <row r="308" spans="1:45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12"/>
      <c r="AK308" s="12"/>
      <c r="AL308" s="6"/>
      <c r="AM308" s="6"/>
      <c r="AN308" s="6"/>
      <c r="AO308" s="6"/>
      <c r="AP308" s="6"/>
      <c r="AQ308" s="6"/>
      <c r="AR308" s="6"/>
      <c r="AS308" s="6"/>
    </row>
    <row r="309" spans="1:45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12"/>
      <c r="AK309" s="12"/>
      <c r="AL309" s="6"/>
      <c r="AM309" s="6"/>
      <c r="AN309" s="6"/>
      <c r="AO309" s="6"/>
      <c r="AP309" s="6"/>
      <c r="AQ309" s="6"/>
      <c r="AR309" s="6"/>
      <c r="AS309" s="6"/>
    </row>
    <row r="310" spans="1:45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12"/>
      <c r="AK310" s="12"/>
      <c r="AL310" s="6"/>
      <c r="AM310" s="6"/>
      <c r="AN310" s="6"/>
      <c r="AO310" s="6"/>
      <c r="AP310" s="6"/>
      <c r="AQ310" s="6"/>
      <c r="AR310" s="6"/>
      <c r="AS310" s="6"/>
    </row>
    <row r="311" spans="1:45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12"/>
      <c r="AK311" s="12"/>
      <c r="AL311" s="6"/>
      <c r="AM311" s="6"/>
      <c r="AN311" s="6"/>
      <c r="AO311" s="6"/>
      <c r="AP311" s="6"/>
      <c r="AQ311" s="6"/>
      <c r="AR311" s="6"/>
      <c r="AS311" s="6"/>
    </row>
    <row r="312" spans="1:45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12"/>
      <c r="AK312" s="12"/>
      <c r="AL312" s="6"/>
      <c r="AM312" s="6"/>
      <c r="AN312" s="6"/>
      <c r="AO312" s="6"/>
      <c r="AP312" s="6"/>
      <c r="AQ312" s="6"/>
      <c r="AR312" s="6"/>
      <c r="AS312" s="6"/>
    </row>
    <row r="313" spans="1:45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12"/>
      <c r="AK313" s="12"/>
      <c r="AL313" s="6"/>
      <c r="AM313" s="6"/>
      <c r="AN313" s="6"/>
      <c r="AO313" s="6"/>
      <c r="AP313" s="6"/>
      <c r="AQ313" s="6"/>
      <c r="AR313" s="6"/>
      <c r="AS313" s="6"/>
    </row>
    <row r="314" spans="1:45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12"/>
      <c r="AK314" s="12"/>
      <c r="AL314" s="6"/>
      <c r="AM314" s="6"/>
      <c r="AN314" s="6"/>
      <c r="AO314" s="6"/>
      <c r="AP314" s="6"/>
      <c r="AQ314" s="6"/>
      <c r="AR314" s="6"/>
      <c r="AS314" s="6"/>
    </row>
    <row r="315" spans="1:4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12"/>
      <c r="AK315" s="12"/>
      <c r="AL315" s="6"/>
      <c r="AM315" s="6"/>
      <c r="AN315" s="6"/>
      <c r="AO315" s="6"/>
      <c r="AP315" s="6"/>
      <c r="AQ315" s="6"/>
      <c r="AR315" s="6"/>
      <c r="AS315" s="6"/>
    </row>
    <row r="316" spans="1:45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12"/>
      <c r="AK316" s="12"/>
      <c r="AL316" s="6"/>
      <c r="AM316" s="6"/>
      <c r="AN316" s="6"/>
      <c r="AO316" s="6"/>
      <c r="AP316" s="6"/>
      <c r="AQ316" s="6"/>
      <c r="AR316" s="6"/>
      <c r="AS316" s="6"/>
    </row>
    <row r="317" spans="1:45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12"/>
      <c r="AK317" s="12"/>
      <c r="AL317" s="6"/>
      <c r="AM317" s="6"/>
      <c r="AN317" s="6"/>
      <c r="AO317" s="6"/>
      <c r="AP317" s="6"/>
      <c r="AQ317" s="6"/>
      <c r="AR317" s="6"/>
      <c r="AS317" s="6"/>
    </row>
    <row r="318" spans="1:45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12"/>
      <c r="AK318" s="12"/>
      <c r="AL318" s="6"/>
      <c r="AM318" s="6"/>
      <c r="AN318" s="6"/>
      <c r="AO318" s="6"/>
      <c r="AP318" s="6"/>
      <c r="AQ318" s="6"/>
      <c r="AR318" s="6"/>
      <c r="AS318" s="6"/>
    </row>
    <row r="319" spans="1:45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12"/>
      <c r="AK319" s="12"/>
      <c r="AL319" s="6"/>
      <c r="AM319" s="6"/>
      <c r="AN319" s="6"/>
      <c r="AO319" s="6"/>
      <c r="AP319" s="6"/>
      <c r="AQ319" s="6"/>
      <c r="AR319" s="6"/>
      <c r="AS319" s="6"/>
    </row>
    <row r="320" spans="1:45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12"/>
      <c r="AK320" s="12"/>
      <c r="AL320" s="6"/>
      <c r="AM320" s="6"/>
      <c r="AN320" s="6"/>
      <c r="AO320" s="6"/>
      <c r="AP320" s="6"/>
      <c r="AQ320" s="6"/>
      <c r="AR320" s="6"/>
      <c r="AS320" s="6"/>
    </row>
    <row r="321" spans="1:45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12"/>
      <c r="AK321" s="12"/>
      <c r="AL321" s="6"/>
      <c r="AM321" s="6"/>
      <c r="AN321" s="6"/>
      <c r="AO321" s="6"/>
      <c r="AP321" s="6"/>
      <c r="AQ321" s="6"/>
      <c r="AR321" s="6"/>
      <c r="AS321" s="6"/>
    </row>
    <row r="322" spans="1:45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12"/>
      <c r="AK322" s="12"/>
      <c r="AL322" s="6"/>
      <c r="AM322" s="6"/>
      <c r="AN322" s="6"/>
      <c r="AO322" s="6"/>
      <c r="AP322" s="6"/>
      <c r="AQ322" s="6"/>
      <c r="AR322" s="6"/>
      <c r="AS322" s="6"/>
    </row>
    <row r="323" spans="1:45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12"/>
      <c r="AK323" s="12"/>
      <c r="AL323" s="6"/>
      <c r="AM323" s="6"/>
      <c r="AN323" s="6"/>
      <c r="AO323" s="6"/>
      <c r="AP323" s="6"/>
      <c r="AQ323" s="6"/>
      <c r="AR323" s="6"/>
      <c r="AS323" s="6"/>
    </row>
    <row r="324" spans="1:45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12"/>
      <c r="AK324" s="12"/>
      <c r="AL324" s="6"/>
      <c r="AM324" s="6"/>
      <c r="AN324" s="6"/>
      <c r="AO324" s="6"/>
      <c r="AP324" s="6"/>
      <c r="AQ324" s="6"/>
      <c r="AR324" s="6"/>
      <c r="AS324" s="6"/>
    </row>
    <row r="325" spans="1:4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12"/>
      <c r="AK325" s="12"/>
      <c r="AL325" s="6"/>
      <c r="AM325" s="6"/>
      <c r="AN325" s="6"/>
      <c r="AO325" s="6"/>
      <c r="AP325" s="6"/>
      <c r="AQ325" s="6"/>
      <c r="AR325" s="6"/>
      <c r="AS325" s="6"/>
    </row>
    <row r="326" spans="1:45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12"/>
      <c r="AK326" s="12"/>
      <c r="AL326" s="6"/>
      <c r="AM326" s="6"/>
      <c r="AN326" s="6"/>
      <c r="AO326" s="6"/>
      <c r="AP326" s="6"/>
      <c r="AQ326" s="6"/>
      <c r="AR326" s="6"/>
      <c r="AS326" s="6"/>
    </row>
    <row r="327" spans="1:45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12"/>
      <c r="AK327" s="12"/>
      <c r="AL327" s="6"/>
      <c r="AM327" s="6"/>
      <c r="AN327" s="6"/>
      <c r="AO327" s="6"/>
      <c r="AP327" s="6"/>
      <c r="AQ327" s="6"/>
      <c r="AR327" s="6"/>
      <c r="AS327" s="6"/>
    </row>
    <row r="328" spans="1:45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12"/>
      <c r="AK328" s="12"/>
      <c r="AL328" s="6"/>
      <c r="AM328" s="6"/>
      <c r="AN328" s="6"/>
      <c r="AO328" s="6"/>
      <c r="AP328" s="6"/>
      <c r="AQ328" s="6"/>
      <c r="AR328" s="6"/>
      <c r="AS328" s="6"/>
    </row>
    <row r="329" spans="1:45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12"/>
      <c r="AK329" s="12"/>
      <c r="AL329" s="6"/>
      <c r="AM329" s="6"/>
      <c r="AN329" s="6"/>
      <c r="AO329" s="6"/>
      <c r="AP329" s="6"/>
      <c r="AQ329" s="6"/>
      <c r="AR329" s="6"/>
      <c r="AS329" s="6"/>
    </row>
    <row r="330" spans="1:45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12"/>
      <c r="AK330" s="12"/>
      <c r="AL330" s="6"/>
      <c r="AM330" s="6"/>
      <c r="AN330" s="6"/>
      <c r="AO330" s="6"/>
      <c r="AP330" s="6"/>
      <c r="AQ330" s="6"/>
      <c r="AR330" s="6"/>
      <c r="AS330" s="6"/>
    </row>
    <row r="331" spans="1:45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12"/>
      <c r="AK331" s="12"/>
      <c r="AL331" s="6"/>
      <c r="AM331" s="6"/>
      <c r="AN331" s="6"/>
      <c r="AO331" s="6"/>
      <c r="AP331" s="6"/>
      <c r="AQ331" s="6"/>
      <c r="AR331" s="6"/>
      <c r="AS331" s="6"/>
    </row>
    <row r="332" spans="1:45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12"/>
      <c r="AK332" s="12"/>
      <c r="AL332" s="6"/>
      <c r="AM332" s="6"/>
      <c r="AN332" s="6"/>
      <c r="AO332" s="6"/>
      <c r="AP332" s="6"/>
      <c r="AQ332" s="6"/>
      <c r="AR332" s="6"/>
      <c r="AS332" s="6"/>
    </row>
    <row r="333" spans="1:45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12"/>
      <c r="AK333" s="12"/>
      <c r="AL333" s="6"/>
      <c r="AM333" s="6"/>
      <c r="AN333" s="6"/>
      <c r="AO333" s="6"/>
      <c r="AP333" s="6"/>
      <c r="AQ333" s="6"/>
      <c r="AR333" s="6"/>
      <c r="AS333" s="6"/>
    </row>
    <row r="334" spans="1:45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12"/>
      <c r="AK334" s="12"/>
      <c r="AL334" s="6"/>
      <c r="AM334" s="6"/>
      <c r="AN334" s="6"/>
      <c r="AO334" s="6"/>
      <c r="AP334" s="6"/>
      <c r="AQ334" s="6"/>
      <c r="AR334" s="6"/>
      <c r="AS334" s="6"/>
    </row>
    <row r="335" spans="1:4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12"/>
      <c r="AK335" s="12"/>
      <c r="AL335" s="6"/>
      <c r="AM335" s="6"/>
      <c r="AN335" s="6"/>
      <c r="AO335" s="6"/>
      <c r="AP335" s="6"/>
      <c r="AQ335" s="6"/>
      <c r="AR335" s="6"/>
      <c r="AS335" s="6"/>
    </row>
    <row r="336" spans="1:45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12"/>
      <c r="AK336" s="12"/>
      <c r="AL336" s="6"/>
      <c r="AM336" s="6"/>
      <c r="AN336" s="6"/>
      <c r="AO336" s="6"/>
      <c r="AP336" s="6"/>
      <c r="AQ336" s="6"/>
      <c r="AR336" s="6"/>
      <c r="AS336" s="6"/>
    </row>
    <row r="337" spans="1:45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12"/>
      <c r="AK337" s="12"/>
      <c r="AL337" s="6"/>
      <c r="AM337" s="6"/>
      <c r="AN337" s="6"/>
      <c r="AO337" s="6"/>
      <c r="AP337" s="6"/>
      <c r="AQ337" s="6"/>
      <c r="AR337" s="6"/>
      <c r="AS337" s="6"/>
    </row>
    <row r="338" spans="1:45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12"/>
      <c r="AK338" s="12"/>
      <c r="AL338" s="6"/>
      <c r="AM338" s="6"/>
      <c r="AN338" s="6"/>
      <c r="AO338" s="6"/>
      <c r="AP338" s="6"/>
      <c r="AQ338" s="6"/>
      <c r="AR338" s="6"/>
      <c r="AS338" s="6"/>
    </row>
    <row r="339" spans="1:45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12"/>
      <c r="AK339" s="12"/>
      <c r="AL339" s="6"/>
      <c r="AM339" s="6"/>
      <c r="AN339" s="6"/>
      <c r="AO339" s="6"/>
      <c r="AP339" s="6"/>
      <c r="AQ339" s="6"/>
      <c r="AR339" s="6"/>
      <c r="AS339" s="6"/>
    </row>
    <row r="340" spans="1:45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12"/>
      <c r="AK340" s="12"/>
      <c r="AL340" s="6"/>
      <c r="AM340" s="6"/>
      <c r="AN340" s="6"/>
      <c r="AO340" s="6"/>
      <c r="AP340" s="6"/>
      <c r="AQ340" s="6"/>
      <c r="AR340" s="6"/>
      <c r="AS340" s="6"/>
    </row>
    <row r="341" spans="1:45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12"/>
      <c r="AK341" s="12"/>
      <c r="AL341" s="6"/>
      <c r="AM341" s="6"/>
      <c r="AN341" s="6"/>
      <c r="AO341" s="6"/>
      <c r="AP341" s="6"/>
      <c r="AQ341" s="6"/>
      <c r="AR341" s="6"/>
      <c r="AS341" s="6"/>
    </row>
    <row r="342" spans="1:45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12"/>
      <c r="AK342" s="12"/>
      <c r="AL342" s="6"/>
      <c r="AM342" s="6"/>
      <c r="AN342" s="6"/>
      <c r="AO342" s="6"/>
      <c r="AP342" s="6"/>
      <c r="AQ342" s="6"/>
      <c r="AR342" s="6"/>
      <c r="AS342" s="6"/>
    </row>
    <row r="343" spans="1:45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12"/>
      <c r="AK343" s="12"/>
      <c r="AL343" s="6"/>
      <c r="AM343" s="6"/>
      <c r="AN343" s="6"/>
      <c r="AO343" s="6"/>
      <c r="AP343" s="6"/>
      <c r="AQ343" s="6"/>
      <c r="AR343" s="6"/>
      <c r="AS343" s="6"/>
    </row>
    <row r="344" spans="1:45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12"/>
      <c r="AK344" s="12"/>
      <c r="AL344" s="6"/>
      <c r="AM344" s="6"/>
      <c r="AN344" s="6"/>
      <c r="AO344" s="6"/>
      <c r="AP344" s="6"/>
      <c r="AQ344" s="6"/>
      <c r="AR344" s="6"/>
      <c r="AS344" s="6"/>
    </row>
    <row r="345" spans="1: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12"/>
      <c r="AK345" s="12"/>
      <c r="AL345" s="6"/>
      <c r="AM345" s="6"/>
      <c r="AN345" s="6"/>
      <c r="AO345" s="6"/>
      <c r="AP345" s="6"/>
      <c r="AQ345" s="6"/>
      <c r="AR345" s="6"/>
      <c r="AS345" s="6"/>
    </row>
    <row r="346" spans="1:45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12"/>
      <c r="AK346" s="12"/>
      <c r="AL346" s="6"/>
      <c r="AM346" s="6"/>
      <c r="AN346" s="6"/>
      <c r="AO346" s="6"/>
      <c r="AP346" s="6"/>
      <c r="AQ346" s="6"/>
      <c r="AR346" s="6"/>
      <c r="AS346" s="6"/>
    </row>
    <row r="347" spans="1:45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12"/>
      <c r="AK347" s="12"/>
      <c r="AL347" s="6"/>
      <c r="AM347" s="6"/>
      <c r="AN347" s="6"/>
      <c r="AO347" s="6"/>
      <c r="AP347" s="6"/>
      <c r="AQ347" s="6"/>
      <c r="AR347" s="6"/>
      <c r="AS347" s="6"/>
    </row>
    <row r="348" spans="1:45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12"/>
      <c r="AK348" s="12"/>
      <c r="AL348" s="6"/>
      <c r="AM348" s="6"/>
      <c r="AN348" s="6"/>
      <c r="AO348" s="6"/>
      <c r="AP348" s="6"/>
      <c r="AQ348" s="6"/>
      <c r="AR348" s="6"/>
      <c r="AS348" s="6"/>
    </row>
    <row r="349" spans="1:45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12"/>
      <c r="AK349" s="12"/>
      <c r="AL349" s="6"/>
      <c r="AM349" s="6"/>
      <c r="AN349" s="6"/>
      <c r="AO349" s="6"/>
      <c r="AP349" s="6"/>
      <c r="AQ349" s="6"/>
      <c r="AR349" s="6"/>
      <c r="AS349" s="6"/>
    </row>
    <row r="350" spans="1:45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12"/>
      <c r="AK350" s="12"/>
      <c r="AL350" s="6"/>
      <c r="AM350" s="6"/>
      <c r="AN350" s="6"/>
      <c r="AO350" s="6"/>
      <c r="AP350" s="6"/>
      <c r="AQ350" s="6"/>
      <c r="AR350" s="6"/>
      <c r="AS350" s="6"/>
    </row>
    <row r="351" spans="1:45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12"/>
      <c r="AK351" s="12"/>
      <c r="AL351" s="6"/>
      <c r="AM351" s="6"/>
      <c r="AN351" s="6"/>
      <c r="AO351" s="6"/>
      <c r="AP351" s="6"/>
      <c r="AQ351" s="6"/>
      <c r="AR351" s="6"/>
      <c r="AS351" s="6"/>
    </row>
    <row r="352" spans="1:45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12"/>
      <c r="AK352" s="12"/>
      <c r="AL352" s="6"/>
      <c r="AM352" s="6"/>
      <c r="AN352" s="6"/>
      <c r="AO352" s="6"/>
      <c r="AP352" s="6"/>
      <c r="AQ352" s="6"/>
      <c r="AR352" s="6"/>
      <c r="AS352" s="6"/>
    </row>
    <row r="353" spans="1:45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12"/>
      <c r="AK353" s="12"/>
      <c r="AL353" s="6"/>
      <c r="AM353" s="6"/>
      <c r="AN353" s="6"/>
      <c r="AO353" s="6"/>
      <c r="AP353" s="6"/>
      <c r="AQ353" s="6"/>
      <c r="AR353" s="6"/>
      <c r="AS353" s="6"/>
    </row>
    <row r="354" spans="1:45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12"/>
      <c r="AK354" s="12"/>
      <c r="AL354" s="6"/>
      <c r="AM354" s="6"/>
      <c r="AN354" s="6"/>
      <c r="AO354" s="6"/>
      <c r="AP354" s="6"/>
      <c r="AQ354" s="6"/>
      <c r="AR354" s="6"/>
      <c r="AS354" s="6"/>
    </row>
    <row r="355" spans="1:4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12"/>
      <c r="AK355" s="12"/>
      <c r="AL355" s="6"/>
      <c r="AM355" s="6"/>
      <c r="AN355" s="6"/>
      <c r="AO355" s="6"/>
      <c r="AP355" s="6"/>
      <c r="AQ355" s="6"/>
      <c r="AR355" s="6"/>
      <c r="AS355" s="6"/>
    </row>
    <row r="356" spans="1:45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12"/>
      <c r="AK356" s="12"/>
      <c r="AL356" s="6"/>
      <c r="AM356" s="6"/>
      <c r="AN356" s="6"/>
      <c r="AO356" s="6"/>
      <c r="AP356" s="6"/>
      <c r="AQ356" s="6"/>
      <c r="AR356" s="6"/>
      <c r="AS356" s="6"/>
    </row>
    <row r="357" spans="1:45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12"/>
      <c r="AK357" s="12"/>
      <c r="AL357" s="6"/>
      <c r="AM357" s="6"/>
      <c r="AN357" s="6"/>
      <c r="AO357" s="6"/>
      <c r="AP357" s="6"/>
      <c r="AQ357" s="6"/>
      <c r="AR357" s="6"/>
      <c r="AS357" s="6"/>
    </row>
    <row r="358" spans="1:45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12"/>
      <c r="AK358" s="12"/>
      <c r="AL358" s="6"/>
      <c r="AM358" s="6"/>
      <c r="AN358" s="6"/>
      <c r="AO358" s="6"/>
      <c r="AP358" s="6"/>
      <c r="AQ358" s="6"/>
      <c r="AR358" s="6"/>
      <c r="AS358" s="6"/>
    </row>
    <row r="359" spans="1:45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12"/>
      <c r="AK359" s="12"/>
      <c r="AL359" s="6"/>
      <c r="AM359" s="6"/>
      <c r="AN359" s="6"/>
      <c r="AO359" s="6"/>
      <c r="AP359" s="6"/>
      <c r="AQ359" s="6"/>
      <c r="AR359" s="6"/>
      <c r="AS359" s="6"/>
    </row>
    <row r="360" spans="1:45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12"/>
      <c r="AK360" s="12"/>
      <c r="AL360" s="6"/>
      <c r="AM360" s="6"/>
      <c r="AN360" s="6"/>
      <c r="AO360" s="6"/>
      <c r="AP360" s="6"/>
      <c r="AQ360" s="6"/>
      <c r="AR360" s="6"/>
      <c r="AS360" s="6"/>
    </row>
    <row r="361" spans="1:45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12"/>
      <c r="AK361" s="12"/>
      <c r="AL361" s="6"/>
      <c r="AM361" s="6"/>
      <c r="AN361" s="6"/>
      <c r="AO361" s="6"/>
      <c r="AP361" s="6"/>
      <c r="AQ361" s="6"/>
      <c r="AR361" s="6"/>
      <c r="AS361" s="6"/>
    </row>
    <row r="362" spans="1:45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12"/>
      <c r="AK362" s="12"/>
      <c r="AL362" s="6"/>
      <c r="AM362" s="6"/>
      <c r="AN362" s="6"/>
      <c r="AO362" s="6"/>
      <c r="AP362" s="6"/>
      <c r="AQ362" s="6"/>
      <c r="AR362" s="6"/>
      <c r="AS362" s="6"/>
    </row>
    <row r="363" spans="1:45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12"/>
      <c r="AK363" s="12"/>
      <c r="AL363" s="6"/>
      <c r="AM363" s="6"/>
      <c r="AN363" s="6"/>
      <c r="AO363" s="6"/>
      <c r="AP363" s="6"/>
      <c r="AQ363" s="6"/>
      <c r="AR363" s="6"/>
      <c r="AS363" s="6"/>
    </row>
    <row r="364" spans="1:45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12"/>
      <c r="AK364" s="12"/>
      <c r="AL364" s="6"/>
      <c r="AM364" s="6"/>
      <c r="AN364" s="6"/>
      <c r="AO364" s="6"/>
      <c r="AP364" s="6"/>
      <c r="AQ364" s="6"/>
      <c r="AR364" s="6"/>
      <c r="AS364" s="6"/>
    </row>
    <row r="365" spans="1:4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12"/>
      <c r="AK365" s="12"/>
      <c r="AL365" s="6"/>
      <c r="AM365" s="6"/>
      <c r="AN365" s="6"/>
      <c r="AO365" s="6"/>
      <c r="AP365" s="6"/>
      <c r="AQ365" s="6"/>
      <c r="AR365" s="6"/>
      <c r="AS365" s="6"/>
    </row>
    <row r="366" spans="1:45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12"/>
      <c r="AK366" s="12"/>
      <c r="AL366" s="6"/>
      <c r="AM366" s="6"/>
      <c r="AN366" s="6"/>
      <c r="AO366" s="6"/>
      <c r="AP366" s="6"/>
      <c r="AQ366" s="6"/>
      <c r="AR366" s="6"/>
      <c r="AS366" s="6"/>
    </row>
    <row r="367" spans="1:45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12"/>
      <c r="AK367" s="12"/>
      <c r="AL367" s="6"/>
      <c r="AM367" s="6"/>
      <c r="AN367" s="6"/>
      <c r="AO367" s="6"/>
      <c r="AP367" s="6"/>
      <c r="AQ367" s="6"/>
      <c r="AR367" s="6"/>
      <c r="AS367" s="6"/>
    </row>
    <row r="368" spans="1:45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12"/>
      <c r="AK368" s="12"/>
      <c r="AL368" s="6"/>
      <c r="AM368" s="6"/>
      <c r="AN368" s="6"/>
      <c r="AO368" s="6"/>
      <c r="AP368" s="6"/>
      <c r="AQ368" s="6"/>
      <c r="AR368" s="6"/>
      <c r="AS368" s="6"/>
    </row>
    <row r="369" spans="1:45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12"/>
      <c r="AK369" s="12"/>
      <c r="AL369" s="6"/>
      <c r="AM369" s="6"/>
      <c r="AN369" s="6"/>
      <c r="AO369" s="6"/>
      <c r="AP369" s="6"/>
      <c r="AQ369" s="6"/>
      <c r="AR369" s="6"/>
      <c r="AS369" s="6"/>
    </row>
    <row r="370" spans="1:45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12"/>
      <c r="AK370" s="12"/>
      <c r="AL370" s="6"/>
      <c r="AM370" s="6"/>
      <c r="AN370" s="6"/>
      <c r="AO370" s="6"/>
      <c r="AP370" s="6"/>
      <c r="AQ370" s="6"/>
      <c r="AR370" s="6"/>
      <c r="AS370" s="6"/>
    </row>
    <row r="371" spans="1:45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12"/>
      <c r="AK371" s="12"/>
      <c r="AL371" s="6"/>
      <c r="AM371" s="6"/>
      <c r="AN371" s="6"/>
      <c r="AO371" s="6"/>
      <c r="AP371" s="6"/>
      <c r="AQ371" s="6"/>
      <c r="AR371" s="6"/>
      <c r="AS371" s="6"/>
    </row>
    <row r="372" spans="1:45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12"/>
      <c r="AK372" s="12"/>
      <c r="AL372" s="6"/>
      <c r="AM372" s="6"/>
      <c r="AN372" s="6"/>
      <c r="AO372" s="6"/>
      <c r="AP372" s="6"/>
      <c r="AQ372" s="6"/>
      <c r="AR372" s="6"/>
      <c r="AS372" s="6"/>
    </row>
    <row r="373" spans="1:45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12"/>
      <c r="AK373" s="12"/>
      <c r="AL373" s="6"/>
      <c r="AM373" s="6"/>
      <c r="AN373" s="6"/>
      <c r="AO373" s="6"/>
      <c r="AP373" s="6"/>
      <c r="AQ373" s="6"/>
      <c r="AR373" s="6"/>
      <c r="AS373" s="6"/>
    </row>
    <row r="374" spans="1:45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12"/>
      <c r="AK374" s="12"/>
      <c r="AL374" s="6"/>
      <c r="AM374" s="6"/>
      <c r="AN374" s="6"/>
      <c r="AO374" s="6"/>
      <c r="AP374" s="6"/>
      <c r="AQ374" s="6"/>
      <c r="AR374" s="6"/>
      <c r="AS374" s="6"/>
    </row>
    <row r="375" spans="1:4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12"/>
      <c r="AK375" s="12"/>
      <c r="AL375" s="6"/>
      <c r="AM375" s="6"/>
      <c r="AN375" s="6"/>
      <c r="AO375" s="6"/>
      <c r="AP375" s="6"/>
      <c r="AQ375" s="6"/>
      <c r="AR375" s="6"/>
      <c r="AS375" s="6"/>
    </row>
    <row r="376" spans="1:45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12"/>
      <c r="AK376" s="12"/>
      <c r="AL376" s="6"/>
      <c r="AM376" s="6"/>
      <c r="AN376" s="6"/>
      <c r="AO376" s="6"/>
      <c r="AP376" s="6"/>
      <c r="AQ376" s="6"/>
      <c r="AR376" s="6"/>
      <c r="AS376" s="6"/>
    </row>
    <row r="377" spans="1:45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12"/>
      <c r="AK377" s="12"/>
      <c r="AL377" s="6"/>
      <c r="AM377" s="6"/>
      <c r="AN377" s="6"/>
      <c r="AO377" s="6"/>
      <c r="AP377" s="6"/>
      <c r="AQ377" s="6"/>
      <c r="AR377" s="6"/>
      <c r="AS377" s="6"/>
    </row>
    <row r="378" spans="1:45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12"/>
      <c r="AK378" s="12"/>
      <c r="AL378" s="6"/>
      <c r="AM378" s="6"/>
      <c r="AN378" s="6"/>
      <c r="AO378" s="6"/>
      <c r="AP378" s="6"/>
      <c r="AQ378" s="6"/>
      <c r="AR378" s="6"/>
      <c r="AS378" s="6"/>
    </row>
    <row r="379" spans="1:45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12"/>
      <c r="AK379" s="12"/>
      <c r="AL379" s="6"/>
      <c r="AM379" s="6"/>
      <c r="AN379" s="6"/>
      <c r="AO379" s="6"/>
      <c r="AP379" s="6"/>
      <c r="AQ379" s="6"/>
      <c r="AR379" s="6"/>
      <c r="AS379" s="6"/>
    </row>
    <row r="380" spans="1:45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12"/>
      <c r="AK380" s="12"/>
      <c r="AL380" s="6"/>
      <c r="AM380" s="6"/>
      <c r="AN380" s="6"/>
      <c r="AO380" s="6"/>
      <c r="AP380" s="6"/>
      <c r="AQ380" s="6"/>
      <c r="AR380" s="6"/>
      <c r="AS380" s="6"/>
    </row>
    <row r="381" spans="1:45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12"/>
      <c r="AK381" s="12"/>
      <c r="AL381" s="6"/>
      <c r="AM381" s="6"/>
      <c r="AN381" s="6"/>
      <c r="AO381" s="6"/>
      <c r="AP381" s="6"/>
      <c r="AQ381" s="6"/>
      <c r="AR381" s="6"/>
      <c r="AS381" s="6"/>
    </row>
    <row r="382" spans="1:45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12"/>
      <c r="AK382" s="12"/>
      <c r="AL382" s="6"/>
      <c r="AM382" s="6"/>
      <c r="AN382" s="6"/>
      <c r="AO382" s="6"/>
      <c r="AP382" s="6"/>
      <c r="AQ382" s="6"/>
      <c r="AR382" s="6"/>
      <c r="AS382" s="6"/>
    </row>
    <row r="383" spans="1:45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12"/>
      <c r="AK383" s="12"/>
      <c r="AL383" s="6"/>
      <c r="AM383" s="6"/>
      <c r="AN383" s="6"/>
      <c r="AO383" s="6"/>
      <c r="AP383" s="6"/>
      <c r="AQ383" s="6"/>
      <c r="AR383" s="6"/>
      <c r="AS383" s="6"/>
    </row>
    <row r="384" spans="1:45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12"/>
      <c r="AK384" s="12"/>
      <c r="AL384" s="6"/>
      <c r="AM384" s="6"/>
      <c r="AN384" s="6"/>
      <c r="AO384" s="6"/>
      <c r="AP384" s="6"/>
      <c r="AQ384" s="6"/>
      <c r="AR384" s="6"/>
      <c r="AS384" s="6"/>
    </row>
    <row r="385" spans="1:4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12"/>
      <c r="AK385" s="12"/>
      <c r="AL385" s="6"/>
      <c r="AM385" s="6"/>
      <c r="AN385" s="6"/>
      <c r="AO385" s="6"/>
      <c r="AP385" s="6"/>
      <c r="AQ385" s="6"/>
      <c r="AR385" s="6"/>
      <c r="AS385" s="6"/>
    </row>
    <row r="386" spans="1:45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12"/>
      <c r="AK386" s="12"/>
      <c r="AL386" s="6"/>
      <c r="AM386" s="6"/>
      <c r="AN386" s="6"/>
      <c r="AO386" s="6"/>
      <c r="AP386" s="6"/>
      <c r="AQ386" s="6"/>
      <c r="AR386" s="6"/>
      <c r="AS386" s="6"/>
    </row>
    <row r="387" spans="1:45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12"/>
      <c r="AK387" s="12"/>
      <c r="AL387" s="6"/>
      <c r="AM387" s="6"/>
      <c r="AN387" s="6"/>
      <c r="AO387" s="6"/>
      <c r="AP387" s="6"/>
      <c r="AQ387" s="6"/>
      <c r="AR387" s="6"/>
      <c r="AS387" s="6"/>
    </row>
    <row r="388" spans="1:45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12"/>
      <c r="AK388" s="12"/>
      <c r="AL388" s="6"/>
      <c r="AM388" s="6"/>
      <c r="AN388" s="6"/>
      <c r="AO388" s="6"/>
      <c r="AP388" s="6"/>
      <c r="AQ388" s="6"/>
      <c r="AR388" s="6"/>
      <c r="AS388" s="6"/>
    </row>
    <row r="389" spans="1:45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12"/>
      <c r="AK389" s="12"/>
      <c r="AL389" s="6"/>
      <c r="AM389" s="6"/>
      <c r="AN389" s="6"/>
      <c r="AO389" s="6"/>
      <c r="AP389" s="6"/>
      <c r="AQ389" s="6"/>
      <c r="AR389" s="6"/>
      <c r="AS389" s="6"/>
    </row>
    <row r="390" spans="1:45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12"/>
      <c r="AK390" s="12"/>
      <c r="AL390" s="6"/>
      <c r="AM390" s="6"/>
      <c r="AN390" s="6"/>
      <c r="AO390" s="6"/>
      <c r="AP390" s="6"/>
      <c r="AQ390" s="6"/>
      <c r="AR390" s="6"/>
      <c r="AS390" s="6"/>
    </row>
    <row r="391" spans="1:45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12"/>
      <c r="AK391" s="12"/>
      <c r="AL391" s="6"/>
      <c r="AM391" s="6"/>
      <c r="AN391" s="6"/>
      <c r="AO391" s="6"/>
      <c r="AP391" s="6"/>
      <c r="AQ391" s="6"/>
      <c r="AR391" s="6"/>
      <c r="AS391" s="6"/>
    </row>
    <row r="392" spans="1:45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12"/>
      <c r="AK392" s="12"/>
      <c r="AL392" s="6"/>
      <c r="AM392" s="6"/>
      <c r="AN392" s="6"/>
      <c r="AO392" s="6"/>
      <c r="AP392" s="6"/>
      <c r="AQ392" s="6"/>
      <c r="AR392" s="6"/>
      <c r="AS392" s="6"/>
    </row>
    <row r="393" spans="1:45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12"/>
      <c r="AK393" s="12"/>
      <c r="AL393" s="6"/>
      <c r="AM393" s="6"/>
      <c r="AN393" s="6"/>
      <c r="AO393" s="6"/>
      <c r="AP393" s="6"/>
      <c r="AQ393" s="6"/>
      <c r="AR393" s="6"/>
      <c r="AS393" s="6"/>
    </row>
    <row r="394" spans="1:45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12"/>
      <c r="AK394" s="12"/>
      <c r="AL394" s="6"/>
      <c r="AM394" s="6"/>
      <c r="AN394" s="6"/>
      <c r="AO394" s="6"/>
      <c r="AP394" s="6"/>
      <c r="AQ394" s="6"/>
      <c r="AR394" s="6"/>
      <c r="AS394" s="6"/>
    </row>
    <row r="395" spans="1:4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12"/>
      <c r="AK395" s="12"/>
      <c r="AL395" s="6"/>
      <c r="AM395" s="6"/>
      <c r="AN395" s="6"/>
      <c r="AO395" s="6"/>
      <c r="AP395" s="6"/>
      <c r="AQ395" s="6"/>
      <c r="AR395" s="6"/>
      <c r="AS395" s="6"/>
    </row>
    <row r="396" spans="1:45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12"/>
      <c r="AK396" s="12"/>
      <c r="AL396" s="6"/>
      <c r="AM396" s="6"/>
      <c r="AN396" s="6"/>
      <c r="AO396" s="6"/>
      <c r="AP396" s="6"/>
      <c r="AQ396" s="6"/>
      <c r="AR396" s="6"/>
      <c r="AS396" s="6"/>
    </row>
    <row r="397" spans="1:45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12"/>
      <c r="AK397" s="12"/>
      <c r="AL397" s="6"/>
      <c r="AM397" s="6"/>
      <c r="AN397" s="6"/>
      <c r="AO397" s="6"/>
      <c r="AP397" s="6"/>
      <c r="AQ397" s="6"/>
      <c r="AR397" s="6"/>
      <c r="AS397" s="6"/>
    </row>
    <row r="398" spans="1:45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12"/>
      <c r="AK398" s="12"/>
      <c r="AL398" s="6"/>
      <c r="AM398" s="6"/>
      <c r="AN398" s="6"/>
      <c r="AO398" s="6"/>
      <c r="AP398" s="6"/>
      <c r="AQ398" s="6"/>
      <c r="AR398" s="6"/>
      <c r="AS398" s="6"/>
    </row>
    <row r="399" spans="1:45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12"/>
      <c r="AK399" s="12"/>
      <c r="AL399" s="6"/>
      <c r="AM399" s="6"/>
      <c r="AN399" s="6"/>
      <c r="AO399" s="6"/>
      <c r="AP399" s="6"/>
      <c r="AQ399" s="6"/>
      <c r="AR399" s="6"/>
      <c r="AS399" s="6"/>
    </row>
    <row r="400" spans="1:45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12"/>
      <c r="AK400" s="12"/>
      <c r="AL400" s="6"/>
      <c r="AM400" s="6"/>
      <c r="AN400" s="6"/>
      <c r="AO400" s="6"/>
      <c r="AP400" s="6"/>
      <c r="AQ400" s="6"/>
      <c r="AR400" s="6"/>
      <c r="AS400" s="6"/>
    </row>
    <row r="401" spans="1:45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12"/>
      <c r="AK401" s="12"/>
      <c r="AL401" s="6"/>
      <c r="AM401" s="6"/>
      <c r="AN401" s="6"/>
      <c r="AO401" s="6"/>
      <c r="AP401" s="6"/>
      <c r="AQ401" s="6"/>
      <c r="AR401" s="6"/>
      <c r="AS401" s="6"/>
    </row>
    <row r="402" spans="1:45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12"/>
      <c r="AK402" s="12"/>
      <c r="AL402" s="6"/>
      <c r="AM402" s="6"/>
      <c r="AN402" s="6"/>
      <c r="AO402" s="6"/>
      <c r="AP402" s="6"/>
      <c r="AQ402" s="6"/>
      <c r="AR402" s="6"/>
      <c r="AS402" s="6"/>
    </row>
    <row r="403" spans="1:45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12"/>
      <c r="AK403" s="12"/>
      <c r="AL403" s="6"/>
      <c r="AM403" s="6"/>
      <c r="AN403" s="6"/>
      <c r="AO403" s="6"/>
      <c r="AP403" s="6"/>
      <c r="AQ403" s="6"/>
      <c r="AR403" s="6"/>
      <c r="AS403" s="6"/>
    </row>
    <row r="404" spans="1:45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12"/>
      <c r="AK404" s="12"/>
      <c r="AL404" s="6"/>
      <c r="AM404" s="6"/>
      <c r="AN404" s="6"/>
      <c r="AO404" s="6"/>
      <c r="AP404" s="6"/>
      <c r="AQ404" s="6"/>
      <c r="AR404" s="6"/>
      <c r="AS404" s="6"/>
    </row>
    <row r="405" spans="1:4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12"/>
      <c r="AK405" s="12"/>
      <c r="AL405" s="6"/>
      <c r="AM405" s="6"/>
      <c r="AN405" s="6"/>
      <c r="AO405" s="6"/>
      <c r="AP405" s="6"/>
      <c r="AQ405" s="6"/>
      <c r="AR405" s="6"/>
      <c r="AS405" s="6"/>
    </row>
    <row r="406" spans="1:45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12"/>
      <c r="AK406" s="12"/>
      <c r="AL406" s="6"/>
      <c r="AM406" s="6"/>
      <c r="AN406" s="6"/>
      <c r="AO406" s="6"/>
      <c r="AP406" s="6"/>
      <c r="AQ406" s="6"/>
      <c r="AR406" s="6"/>
      <c r="AS406" s="6"/>
    </row>
    <row r="407" spans="1:45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12"/>
      <c r="AK407" s="12"/>
      <c r="AL407" s="6"/>
      <c r="AM407" s="6"/>
      <c r="AN407" s="6"/>
      <c r="AO407" s="6"/>
      <c r="AP407" s="6"/>
      <c r="AQ407" s="6"/>
      <c r="AR407" s="6"/>
      <c r="AS407" s="6"/>
    </row>
    <row r="408" spans="1:45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12"/>
      <c r="AK408" s="12"/>
      <c r="AL408" s="6"/>
      <c r="AM408" s="6"/>
      <c r="AN408" s="6"/>
      <c r="AO408" s="6"/>
      <c r="AP408" s="6"/>
      <c r="AQ408" s="6"/>
      <c r="AR408" s="6"/>
      <c r="AS408" s="6"/>
    </row>
    <row r="409" spans="1:45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12"/>
      <c r="AK409" s="12"/>
      <c r="AL409" s="6"/>
      <c r="AM409" s="6"/>
      <c r="AN409" s="6"/>
      <c r="AO409" s="6"/>
      <c r="AP409" s="6"/>
      <c r="AQ409" s="6"/>
      <c r="AR409" s="6"/>
      <c r="AS409" s="6"/>
    </row>
    <row r="410" spans="1:45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12"/>
      <c r="AK410" s="12"/>
      <c r="AL410" s="6"/>
      <c r="AM410" s="6"/>
      <c r="AN410" s="6"/>
      <c r="AO410" s="6"/>
      <c r="AP410" s="6"/>
      <c r="AQ410" s="6"/>
      <c r="AR410" s="6"/>
      <c r="AS410" s="6"/>
    </row>
    <row r="411" spans="1:45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12"/>
      <c r="AK411" s="12"/>
      <c r="AL411" s="6"/>
      <c r="AM411" s="6"/>
      <c r="AN411" s="6"/>
      <c r="AO411" s="6"/>
      <c r="AP411" s="6"/>
      <c r="AQ411" s="6"/>
      <c r="AR411" s="6"/>
      <c r="AS411" s="6"/>
    </row>
    <row r="412" spans="1:45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12"/>
      <c r="AK412" s="12"/>
      <c r="AL412" s="6"/>
      <c r="AM412" s="6"/>
      <c r="AN412" s="6"/>
      <c r="AO412" s="6"/>
      <c r="AP412" s="6"/>
      <c r="AQ412" s="6"/>
      <c r="AR412" s="6"/>
      <c r="AS412" s="6"/>
    </row>
    <row r="413" spans="1:45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12"/>
      <c r="AK413" s="12"/>
      <c r="AL413" s="6"/>
      <c r="AM413" s="6"/>
      <c r="AN413" s="6"/>
      <c r="AO413" s="6"/>
      <c r="AP413" s="6"/>
      <c r="AQ413" s="6"/>
      <c r="AR413" s="6"/>
      <c r="AS413" s="6"/>
    </row>
    <row r="414" spans="1:45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12"/>
      <c r="AK414" s="12"/>
      <c r="AL414" s="6"/>
      <c r="AM414" s="6"/>
      <c r="AN414" s="6"/>
      <c r="AO414" s="6"/>
      <c r="AP414" s="6"/>
      <c r="AQ414" s="6"/>
      <c r="AR414" s="6"/>
      <c r="AS414" s="6"/>
    </row>
    <row r="415" spans="1:4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12"/>
      <c r="AK415" s="12"/>
      <c r="AL415" s="6"/>
      <c r="AM415" s="6"/>
      <c r="AN415" s="6"/>
      <c r="AO415" s="6"/>
      <c r="AP415" s="6"/>
      <c r="AQ415" s="6"/>
      <c r="AR415" s="6"/>
      <c r="AS415" s="6"/>
    </row>
    <row r="416" spans="1:45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12"/>
      <c r="AK416" s="12"/>
      <c r="AL416" s="6"/>
      <c r="AM416" s="6"/>
      <c r="AN416" s="6"/>
      <c r="AO416" s="6"/>
      <c r="AP416" s="6"/>
      <c r="AQ416" s="6"/>
      <c r="AR416" s="6"/>
      <c r="AS416" s="6"/>
    </row>
    <row r="417" spans="1:45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12"/>
      <c r="AK417" s="12"/>
      <c r="AL417" s="6"/>
      <c r="AM417" s="6"/>
      <c r="AN417" s="6"/>
      <c r="AO417" s="6"/>
      <c r="AP417" s="6"/>
      <c r="AQ417" s="6"/>
      <c r="AR417" s="6"/>
      <c r="AS417" s="6"/>
    </row>
    <row r="418" spans="1:45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12"/>
      <c r="AK418" s="12"/>
      <c r="AL418" s="6"/>
      <c r="AM418" s="6"/>
      <c r="AN418" s="6"/>
      <c r="AO418" s="6"/>
      <c r="AP418" s="6"/>
      <c r="AQ418" s="6"/>
      <c r="AR418" s="6"/>
      <c r="AS418" s="6"/>
    </row>
    <row r="419" spans="1:45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12"/>
      <c r="AK419" s="12"/>
      <c r="AL419" s="6"/>
      <c r="AM419" s="6"/>
      <c r="AN419" s="6"/>
      <c r="AO419" s="6"/>
      <c r="AP419" s="6"/>
      <c r="AQ419" s="6"/>
      <c r="AR419" s="6"/>
      <c r="AS419" s="6"/>
    </row>
    <row r="420" spans="1:45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12"/>
      <c r="AK420" s="12"/>
      <c r="AL420" s="6"/>
      <c r="AM420" s="6"/>
      <c r="AN420" s="6"/>
      <c r="AO420" s="6"/>
      <c r="AP420" s="6"/>
      <c r="AQ420" s="6"/>
      <c r="AR420" s="6"/>
      <c r="AS420" s="6"/>
    </row>
    <row r="421" spans="1:45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12"/>
      <c r="AK421" s="12"/>
      <c r="AL421" s="6"/>
      <c r="AM421" s="6"/>
      <c r="AN421" s="6"/>
      <c r="AO421" s="6"/>
      <c r="AP421" s="6"/>
      <c r="AQ421" s="6"/>
      <c r="AR421" s="6"/>
      <c r="AS421" s="6"/>
    </row>
    <row r="422" spans="1:45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12"/>
      <c r="AK422" s="12"/>
      <c r="AL422" s="6"/>
      <c r="AM422" s="6"/>
      <c r="AN422" s="6"/>
      <c r="AO422" s="6"/>
      <c r="AP422" s="6"/>
      <c r="AQ422" s="6"/>
      <c r="AR422" s="6"/>
      <c r="AS422" s="6"/>
    </row>
    <row r="423" spans="1:45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12"/>
      <c r="AK423" s="12"/>
      <c r="AL423" s="6"/>
      <c r="AM423" s="6"/>
      <c r="AN423" s="6"/>
      <c r="AO423" s="6"/>
      <c r="AP423" s="6"/>
      <c r="AQ423" s="6"/>
      <c r="AR423" s="6"/>
      <c r="AS423" s="6"/>
    </row>
    <row r="424" spans="1:45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12"/>
      <c r="AK424" s="12"/>
      <c r="AL424" s="6"/>
      <c r="AM424" s="6"/>
      <c r="AN424" s="6"/>
      <c r="AO424" s="6"/>
      <c r="AP424" s="6"/>
      <c r="AQ424" s="6"/>
      <c r="AR424" s="6"/>
      <c r="AS424" s="6"/>
    </row>
    <row r="425" spans="1:4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12"/>
      <c r="AK425" s="12"/>
      <c r="AL425" s="6"/>
      <c r="AM425" s="6"/>
      <c r="AN425" s="6"/>
      <c r="AO425" s="6"/>
      <c r="AP425" s="6"/>
      <c r="AQ425" s="6"/>
      <c r="AR425" s="6"/>
      <c r="AS425" s="6"/>
    </row>
    <row r="426" spans="1:45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12"/>
      <c r="AK426" s="12"/>
      <c r="AL426" s="6"/>
      <c r="AM426" s="6"/>
      <c r="AN426" s="6"/>
      <c r="AO426" s="6"/>
      <c r="AP426" s="6"/>
      <c r="AQ426" s="6"/>
      <c r="AR426" s="6"/>
      <c r="AS426" s="6"/>
    </row>
    <row r="427" spans="1:45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12"/>
      <c r="AK427" s="12"/>
      <c r="AL427" s="6"/>
      <c r="AM427" s="6"/>
      <c r="AN427" s="6"/>
      <c r="AO427" s="6"/>
      <c r="AP427" s="6"/>
      <c r="AQ427" s="6"/>
      <c r="AR427" s="6"/>
      <c r="AS427" s="6"/>
    </row>
    <row r="428" spans="1:45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12"/>
      <c r="AK428" s="12"/>
      <c r="AL428" s="6"/>
      <c r="AM428" s="6"/>
      <c r="AN428" s="6"/>
      <c r="AO428" s="6"/>
      <c r="AP428" s="6"/>
      <c r="AQ428" s="6"/>
      <c r="AR428" s="6"/>
      <c r="AS428" s="6"/>
    </row>
    <row r="429" spans="1:45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12"/>
      <c r="AK429" s="12"/>
      <c r="AL429" s="6"/>
      <c r="AM429" s="6"/>
      <c r="AN429" s="6"/>
      <c r="AO429" s="6"/>
      <c r="AP429" s="6"/>
      <c r="AQ429" s="6"/>
      <c r="AR429" s="6"/>
      <c r="AS429" s="6"/>
    </row>
    <row r="430" spans="1:45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12"/>
      <c r="AK430" s="12"/>
      <c r="AL430" s="6"/>
      <c r="AM430" s="6"/>
      <c r="AN430" s="6"/>
      <c r="AO430" s="6"/>
      <c r="AP430" s="6"/>
      <c r="AQ430" s="6"/>
      <c r="AR430" s="6"/>
      <c r="AS430" s="6"/>
    </row>
    <row r="431" spans="1:45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12"/>
      <c r="AK431" s="12"/>
      <c r="AL431" s="6"/>
      <c r="AM431" s="6"/>
      <c r="AN431" s="6"/>
      <c r="AO431" s="6"/>
      <c r="AP431" s="6"/>
      <c r="AQ431" s="6"/>
      <c r="AR431" s="6"/>
      <c r="AS431" s="6"/>
    </row>
    <row r="432" spans="1:45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12"/>
      <c r="AK432" s="12"/>
      <c r="AL432" s="6"/>
      <c r="AM432" s="6"/>
      <c r="AN432" s="6"/>
      <c r="AO432" s="6"/>
      <c r="AP432" s="6"/>
      <c r="AQ432" s="6"/>
      <c r="AR432" s="6"/>
      <c r="AS432" s="6"/>
    </row>
    <row r="433" spans="1:45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12"/>
      <c r="AK433" s="12"/>
      <c r="AL433" s="6"/>
      <c r="AM433" s="6"/>
      <c r="AN433" s="6"/>
      <c r="AO433" s="6"/>
      <c r="AP433" s="6"/>
      <c r="AQ433" s="6"/>
      <c r="AR433" s="6"/>
      <c r="AS433" s="6"/>
    </row>
    <row r="434" spans="1:45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12"/>
      <c r="AK434" s="12"/>
      <c r="AL434" s="6"/>
      <c r="AM434" s="6"/>
      <c r="AN434" s="6"/>
      <c r="AO434" s="6"/>
      <c r="AP434" s="6"/>
      <c r="AQ434" s="6"/>
      <c r="AR434" s="6"/>
      <c r="AS434" s="6"/>
    </row>
    <row r="435" spans="1:4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12"/>
      <c r="AK435" s="12"/>
      <c r="AL435" s="6"/>
      <c r="AM435" s="6"/>
      <c r="AN435" s="6"/>
      <c r="AO435" s="6"/>
      <c r="AP435" s="6"/>
      <c r="AQ435" s="6"/>
      <c r="AR435" s="6"/>
      <c r="AS435" s="6"/>
    </row>
    <row r="436" spans="1:45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12"/>
      <c r="AK436" s="12"/>
      <c r="AL436" s="6"/>
      <c r="AM436" s="6"/>
      <c r="AN436" s="6"/>
      <c r="AO436" s="6"/>
      <c r="AP436" s="6"/>
      <c r="AQ436" s="6"/>
      <c r="AR436" s="6"/>
      <c r="AS436" s="6"/>
    </row>
    <row r="437" spans="1:45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12"/>
      <c r="AK437" s="12"/>
      <c r="AL437" s="6"/>
      <c r="AM437" s="6"/>
      <c r="AN437" s="6"/>
      <c r="AO437" s="6"/>
      <c r="AP437" s="6"/>
      <c r="AQ437" s="6"/>
      <c r="AR437" s="6"/>
      <c r="AS437" s="6"/>
    </row>
    <row r="438" spans="1:45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12"/>
      <c r="AK438" s="12"/>
      <c r="AL438" s="6"/>
      <c r="AM438" s="6"/>
      <c r="AN438" s="6"/>
      <c r="AO438" s="6"/>
      <c r="AP438" s="6"/>
      <c r="AQ438" s="6"/>
      <c r="AR438" s="6"/>
      <c r="AS438" s="6"/>
    </row>
    <row r="439" spans="1:45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12"/>
      <c r="AK439" s="12"/>
      <c r="AL439" s="6"/>
      <c r="AM439" s="6"/>
      <c r="AN439" s="6"/>
      <c r="AO439" s="6"/>
      <c r="AP439" s="6"/>
      <c r="AQ439" s="6"/>
      <c r="AR439" s="6"/>
      <c r="AS439" s="6"/>
    </row>
    <row r="440" spans="1:45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12"/>
      <c r="AK440" s="12"/>
      <c r="AL440" s="6"/>
      <c r="AM440" s="6"/>
      <c r="AN440" s="6"/>
      <c r="AO440" s="6"/>
      <c r="AP440" s="6"/>
      <c r="AQ440" s="6"/>
      <c r="AR440" s="6"/>
      <c r="AS440" s="6"/>
    </row>
    <row r="441" spans="1:45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12"/>
      <c r="AK441" s="12"/>
      <c r="AL441" s="6"/>
      <c r="AM441" s="6"/>
      <c r="AN441" s="6"/>
      <c r="AO441" s="6"/>
      <c r="AP441" s="6"/>
      <c r="AQ441" s="6"/>
      <c r="AR441" s="6"/>
      <c r="AS441" s="6"/>
    </row>
    <row r="442" spans="1:45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12"/>
      <c r="AK442" s="12"/>
      <c r="AL442" s="6"/>
      <c r="AM442" s="6"/>
      <c r="AN442" s="6"/>
      <c r="AO442" s="6"/>
      <c r="AP442" s="6"/>
      <c r="AQ442" s="6"/>
      <c r="AR442" s="6"/>
      <c r="AS442" s="6"/>
    </row>
    <row r="443" spans="1:45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12"/>
      <c r="AK443" s="12"/>
      <c r="AL443" s="6"/>
      <c r="AM443" s="6"/>
      <c r="AN443" s="6"/>
      <c r="AO443" s="6"/>
      <c r="AP443" s="6"/>
      <c r="AQ443" s="6"/>
      <c r="AR443" s="6"/>
      <c r="AS443" s="6"/>
    </row>
    <row r="444" spans="1:45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12"/>
      <c r="AK444" s="12"/>
      <c r="AL444" s="6"/>
      <c r="AM444" s="6"/>
      <c r="AN444" s="6"/>
      <c r="AO444" s="6"/>
      <c r="AP444" s="6"/>
      <c r="AQ444" s="6"/>
      <c r="AR444" s="6"/>
      <c r="AS444" s="6"/>
    </row>
    <row r="445" spans="1: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12"/>
      <c r="AK445" s="12"/>
      <c r="AL445" s="6"/>
      <c r="AM445" s="6"/>
      <c r="AN445" s="6"/>
      <c r="AO445" s="6"/>
      <c r="AP445" s="6"/>
      <c r="AQ445" s="6"/>
      <c r="AR445" s="6"/>
      <c r="AS445" s="6"/>
    </row>
    <row r="446" spans="1:45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12"/>
      <c r="AK446" s="12"/>
      <c r="AL446" s="6"/>
      <c r="AM446" s="6"/>
      <c r="AN446" s="6"/>
      <c r="AO446" s="6"/>
      <c r="AP446" s="6"/>
      <c r="AQ446" s="6"/>
      <c r="AR446" s="6"/>
      <c r="AS446" s="6"/>
    </row>
    <row r="447" spans="1:45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12"/>
      <c r="AK447" s="12"/>
      <c r="AL447" s="6"/>
      <c r="AM447" s="6"/>
      <c r="AN447" s="6"/>
      <c r="AO447" s="6"/>
      <c r="AP447" s="6"/>
      <c r="AQ447" s="6"/>
      <c r="AR447" s="6"/>
      <c r="AS447" s="6"/>
    </row>
    <row r="448" spans="1:45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12"/>
      <c r="AK448" s="12"/>
      <c r="AL448" s="6"/>
      <c r="AM448" s="6"/>
      <c r="AN448" s="6"/>
      <c r="AO448" s="6"/>
      <c r="AP448" s="6"/>
      <c r="AQ448" s="6"/>
      <c r="AR448" s="6"/>
      <c r="AS448" s="6"/>
    </row>
    <row r="449" spans="1:45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12"/>
      <c r="AK449" s="12"/>
      <c r="AL449" s="6"/>
      <c r="AM449" s="6"/>
      <c r="AN449" s="6"/>
      <c r="AO449" s="6"/>
      <c r="AP449" s="6"/>
      <c r="AQ449" s="6"/>
      <c r="AR449" s="6"/>
      <c r="AS449" s="6"/>
    </row>
    <row r="450" spans="1:45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12"/>
      <c r="AK450" s="12"/>
      <c r="AL450" s="6"/>
      <c r="AM450" s="6"/>
      <c r="AN450" s="6"/>
      <c r="AO450" s="6"/>
      <c r="AP450" s="6"/>
      <c r="AQ450" s="6"/>
      <c r="AR450" s="6"/>
      <c r="AS450" s="6"/>
    </row>
    <row r="451" spans="1:45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12"/>
      <c r="AK451" s="12"/>
      <c r="AL451" s="6"/>
      <c r="AM451" s="6"/>
      <c r="AN451" s="6"/>
      <c r="AO451" s="6"/>
      <c r="AP451" s="6"/>
      <c r="AQ451" s="6"/>
      <c r="AR451" s="6"/>
      <c r="AS451" s="6"/>
    </row>
    <row r="452" spans="1:45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12"/>
      <c r="AK452" s="12"/>
      <c r="AL452" s="6"/>
      <c r="AM452" s="6"/>
      <c r="AN452" s="6"/>
      <c r="AO452" s="6"/>
      <c r="AP452" s="6"/>
      <c r="AQ452" s="6"/>
      <c r="AR452" s="6"/>
      <c r="AS452" s="6"/>
    </row>
    <row r="453" spans="1:45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12"/>
      <c r="AK453" s="12"/>
      <c r="AL453" s="6"/>
      <c r="AM453" s="6"/>
      <c r="AN453" s="6"/>
      <c r="AO453" s="6"/>
      <c r="AP453" s="6"/>
      <c r="AQ453" s="6"/>
      <c r="AR453" s="6"/>
      <c r="AS453" s="6"/>
    </row>
    <row r="454" spans="1:45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12"/>
      <c r="AK454" s="12"/>
      <c r="AL454" s="6"/>
      <c r="AM454" s="6"/>
      <c r="AN454" s="6"/>
      <c r="AO454" s="6"/>
      <c r="AP454" s="6"/>
      <c r="AQ454" s="6"/>
      <c r="AR454" s="6"/>
      <c r="AS454" s="6"/>
    </row>
    <row r="455" spans="1:4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12"/>
      <c r="AK455" s="12"/>
      <c r="AL455" s="6"/>
      <c r="AM455" s="6"/>
      <c r="AN455" s="6"/>
      <c r="AO455" s="6"/>
      <c r="AP455" s="6"/>
      <c r="AQ455" s="6"/>
      <c r="AR455" s="6"/>
      <c r="AS455" s="6"/>
    </row>
    <row r="456" spans="1:45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12"/>
      <c r="AK456" s="12"/>
      <c r="AL456" s="6"/>
      <c r="AM456" s="6"/>
      <c r="AN456" s="6"/>
      <c r="AO456" s="6"/>
      <c r="AP456" s="6"/>
      <c r="AQ456" s="6"/>
      <c r="AR456" s="6"/>
      <c r="AS456" s="6"/>
    </row>
    <row r="457" spans="1:45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12"/>
      <c r="AK457" s="12"/>
      <c r="AL457" s="6"/>
      <c r="AM457" s="6"/>
      <c r="AN457" s="6"/>
      <c r="AO457" s="6"/>
      <c r="AP457" s="6"/>
      <c r="AQ457" s="6"/>
      <c r="AR457" s="6"/>
      <c r="AS457" s="6"/>
    </row>
    <row r="458" spans="1:45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12"/>
      <c r="AK458" s="12"/>
      <c r="AL458" s="6"/>
      <c r="AM458" s="6"/>
      <c r="AN458" s="6"/>
      <c r="AO458" s="6"/>
      <c r="AP458" s="6"/>
      <c r="AQ458" s="6"/>
      <c r="AR458" s="6"/>
      <c r="AS458" s="6"/>
    </row>
    <row r="459" spans="1:45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12"/>
      <c r="AK459" s="12"/>
      <c r="AL459" s="6"/>
      <c r="AM459" s="6"/>
      <c r="AN459" s="6"/>
      <c r="AO459" s="6"/>
      <c r="AP459" s="6"/>
      <c r="AQ459" s="6"/>
      <c r="AR459" s="6"/>
      <c r="AS459" s="6"/>
    </row>
    <row r="460" spans="1:45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12"/>
      <c r="AK460" s="12"/>
      <c r="AL460" s="6"/>
      <c r="AM460" s="6"/>
      <c r="AN460" s="6"/>
      <c r="AO460" s="6"/>
      <c r="AP460" s="6"/>
      <c r="AQ460" s="6"/>
      <c r="AR460" s="6"/>
      <c r="AS460" s="6"/>
    </row>
    <row r="461" spans="1:45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12"/>
      <c r="AK461" s="12"/>
      <c r="AL461" s="6"/>
      <c r="AM461" s="6"/>
      <c r="AN461" s="6"/>
      <c r="AO461" s="6"/>
      <c r="AP461" s="6"/>
      <c r="AQ461" s="6"/>
      <c r="AR461" s="6"/>
      <c r="AS461" s="6"/>
    </row>
    <row r="462" spans="1:45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12"/>
      <c r="AK462" s="12"/>
      <c r="AL462" s="6"/>
      <c r="AM462" s="6"/>
      <c r="AN462" s="6"/>
      <c r="AO462" s="6"/>
      <c r="AP462" s="6"/>
      <c r="AQ462" s="6"/>
      <c r="AR462" s="6"/>
      <c r="AS462" s="6"/>
    </row>
    <row r="463" spans="1:45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12"/>
      <c r="AK463" s="12"/>
      <c r="AL463" s="6"/>
      <c r="AM463" s="6"/>
      <c r="AN463" s="6"/>
      <c r="AO463" s="6"/>
      <c r="AP463" s="6"/>
      <c r="AQ463" s="6"/>
      <c r="AR463" s="6"/>
      <c r="AS463" s="6"/>
    </row>
    <row r="464" spans="1:45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12"/>
      <c r="AK464" s="12"/>
      <c r="AL464" s="6"/>
      <c r="AM464" s="6"/>
      <c r="AN464" s="6"/>
      <c r="AO464" s="6"/>
      <c r="AP464" s="6"/>
      <c r="AQ464" s="6"/>
      <c r="AR464" s="6"/>
      <c r="AS464" s="6"/>
    </row>
    <row r="465" spans="1:4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12"/>
      <c r="AK465" s="12"/>
      <c r="AL465" s="6"/>
      <c r="AM465" s="6"/>
      <c r="AN465" s="6"/>
      <c r="AO465" s="6"/>
      <c r="AP465" s="6"/>
      <c r="AQ465" s="6"/>
      <c r="AR465" s="6"/>
      <c r="AS465" s="6"/>
    </row>
    <row r="466" spans="1:45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12"/>
      <c r="AK466" s="12"/>
      <c r="AL466" s="6"/>
      <c r="AM466" s="6"/>
      <c r="AN466" s="6"/>
      <c r="AO466" s="6"/>
      <c r="AP466" s="6"/>
      <c r="AQ466" s="6"/>
      <c r="AR466" s="6"/>
      <c r="AS466" s="6"/>
    </row>
    <row r="467" spans="1:45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12"/>
      <c r="AK467" s="12"/>
      <c r="AL467" s="6"/>
      <c r="AM467" s="6"/>
      <c r="AN467" s="6"/>
      <c r="AO467" s="6"/>
      <c r="AP467" s="6"/>
      <c r="AQ467" s="6"/>
      <c r="AR467" s="6"/>
      <c r="AS467" s="6"/>
    </row>
    <row r="468" spans="1:45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12"/>
      <c r="AK468" s="12"/>
      <c r="AL468" s="6"/>
      <c r="AM468" s="6"/>
      <c r="AN468" s="6"/>
      <c r="AO468" s="6"/>
      <c r="AP468" s="6"/>
      <c r="AQ468" s="6"/>
      <c r="AR468" s="6"/>
      <c r="AS468" s="6"/>
    </row>
    <row r="469" spans="1:45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12"/>
      <c r="AK469" s="12"/>
      <c r="AL469" s="6"/>
      <c r="AM469" s="6"/>
      <c r="AN469" s="6"/>
      <c r="AO469" s="6"/>
      <c r="AP469" s="6"/>
      <c r="AQ469" s="6"/>
      <c r="AR469" s="6"/>
      <c r="AS469" s="6"/>
    </row>
    <row r="470" spans="1:45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12"/>
      <c r="AK470" s="12"/>
      <c r="AL470" s="6"/>
      <c r="AM470" s="6"/>
      <c r="AN470" s="6"/>
      <c r="AO470" s="6"/>
      <c r="AP470" s="6"/>
      <c r="AQ470" s="6"/>
      <c r="AR470" s="6"/>
      <c r="AS470" s="6"/>
    </row>
    <row r="471" spans="1:45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12"/>
      <c r="AK471" s="12"/>
      <c r="AL471" s="6"/>
      <c r="AM471" s="6"/>
      <c r="AN471" s="6"/>
      <c r="AO471" s="6"/>
      <c r="AP471" s="6"/>
      <c r="AQ471" s="6"/>
      <c r="AR471" s="6"/>
      <c r="AS471" s="6"/>
    </row>
    <row r="472" spans="1:45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12"/>
      <c r="AK472" s="12"/>
      <c r="AL472" s="6"/>
      <c r="AM472" s="6"/>
      <c r="AN472" s="6"/>
      <c r="AO472" s="6"/>
      <c r="AP472" s="6"/>
      <c r="AQ472" s="6"/>
      <c r="AR472" s="6"/>
      <c r="AS472" s="6"/>
    </row>
    <row r="473" spans="1:45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12"/>
      <c r="AK473" s="12"/>
      <c r="AL473" s="6"/>
      <c r="AM473" s="6"/>
      <c r="AN473" s="6"/>
      <c r="AO473" s="6"/>
      <c r="AP473" s="6"/>
      <c r="AQ473" s="6"/>
      <c r="AR473" s="6"/>
      <c r="AS473" s="6"/>
    </row>
    <row r="474" spans="1:45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12"/>
      <c r="AK474" s="12"/>
      <c r="AL474" s="6"/>
      <c r="AM474" s="6"/>
      <c r="AN474" s="6"/>
      <c r="AO474" s="6"/>
      <c r="AP474" s="6"/>
      <c r="AQ474" s="6"/>
      <c r="AR474" s="6"/>
      <c r="AS474" s="6"/>
    </row>
    <row r="475" spans="1:4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12"/>
      <c r="AK475" s="12"/>
      <c r="AL475" s="6"/>
      <c r="AM475" s="6"/>
      <c r="AN475" s="6"/>
      <c r="AO475" s="6"/>
      <c r="AP475" s="6"/>
      <c r="AQ475" s="6"/>
      <c r="AR475" s="6"/>
      <c r="AS475" s="6"/>
    </row>
    <row r="476" spans="1:45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12"/>
      <c r="AK476" s="12"/>
      <c r="AL476" s="6"/>
      <c r="AM476" s="6"/>
      <c r="AN476" s="6"/>
      <c r="AO476" s="6"/>
      <c r="AP476" s="6"/>
      <c r="AQ476" s="6"/>
      <c r="AR476" s="6"/>
      <c r="AS476" s="6"/>
    </row>
    <row r="477" spans="1:45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12"/>
      <c r="AK477" s="12"/>
      <c r="AL477" s="6"/>
      <c r="AM477" s="6"/>
      <c r="AN477" s="6"/>
      <c r="AO477" s="6"/>
      <c r="AP477" s="6"/>
      <c r="AQ477" s="6"/>
      <c r="AR477" s="6"/>
      <c r="AS477" s="6"/>
    </row>
    <row r="478" spans="1:45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12"/>
      <c r="AK478" s="12"/>
      <c r="AL478" s="6"/>
      <c r="AM478" s="6"/>
      <c r="AN478" s="6"/>
      <c r="AO478" s="6"/>
      <c r="AP478" s="6"/>
      <c r="AQ478" s="6"/>
      <c r="AR478" s="6"/>
      <c r="AS478" s="6"/>
    </row>
    <row r="479" spans="1:45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12"/>
      <c r="AK479" s="12"/>
      <c r="AL479" s="6"/>
      <c r="AM479" s="6"/>
      <c r="AN479" s="6"/>
      <c r="AO479" s="6"/>
      <c r="AP479" s="6"/>
      <c r="AQ479" s="6"/>
      <c r="AR479" s="6"/>
      <c r="AS479" s="6"/>
    </row>
    <row r="480" spans="1:45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12"/>
      <c r="AK480" s="12"/>
      <c r="AL480" s="6"/>
      <c r="AM480" s="6"/>
      <c r="AN480" s="6"/>
      <c r="AO480" s="6"/>
      <c r="AP480" s="6"/>
      <c r="AQ480" s="6"/>
      <c r="AR480" s="6"/>
      <c r="AS480" s="6"/>
    </row>
    <row r="481" spans="1:45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12"/>
      <c r="AK481" s="12"/>
      <c r="AL481" s="6"/>
      <c r="AM481" s="6"/>
      <c r="AN481" s="6"/>
      <c r="AO481" s="6"/>
      <c r="AP481" s="6"/>
      <c r="AQ481" s="6"/>
      <c r="AR481" s="6"/>
      <c r="AS481" s="6"/>
    </row>
    <row r="482" spans="1:45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12"/>
      <c r="AK482" s="12"/>
      <c r="AL482" s="6"/>
      <c r="AM482" s="6"/>
      <c r="AN482" s="6"/>
      <c r="AO482" s="6"/>
      <c r="AP482" s="6"/>
      <c r="AQ482" s="6"/>
      <c r="AR482" s="6"/>
      <c r="AS482" s="6"/>
    </row>
    <row r="483" spans="1:45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12"/>
      <c r="AK483" s="12"/>
      <c r="AL483" s="6"/>
      <c r="AM483" s="6"/>
      <c r="AN483" s="6"/>
      <c r="AO483" s="6"/>
      <c r="AP483" s="6"/>
      <c r="AQ483" s="6"/>
      <c r="AR483" s="6"/>
      <c r="AS483" s="6"/>
    </row>
    <row r="484" spans="1:45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12"/>
      <c r="AK484" s="12"/>
      <c r="AL484" s="6"/>
      <c r="AM484" s="6"/>
      <c r="AN484" s="6"/>
      <c r="AO484" s="6"/>
      <c r="AP484" s="6"/>
      <c r="AQ484" s="6"/>
      <c r="AR484" s="6"/>
      <c r="AS484" s="6"/>
    </row>
    <row r="485" spans="1:4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12"/>
      <c r="AK485" s="12"/>
      <c r="AL485" s="6"/>
      <c r="AM485" s="6"/>
      <c r="AN485" s="6"/>
      <c r="AO485" s="6"/>
      <c r="AP485" s="6"/>
      <c r="AQ485" s="6"/>
      <c r="AR485" s="6"/>
      <c r="AS485" s="6"/>
    </row>
    <row r="486" spans="1:45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12"/>
      <c r="AK486" s="12"/>
      <c r="AL486" s="6"/>
      <c r="AM486" s="6"/>
      <c r="AN486" s="6"/>
      <c r="AO486" s="6"/>
      <c r="AP486" s="6"/>
      <c r="AQ486" s="6"/>
      <c r="AR486" s="6"/>
      <c r="AS486" s="6"/>
    </row>
    <row r="487" spans="1:45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12"/>
      <c r="AK487" s="12"/>
      <c r="AL487" s="6"/>
      <c r="AM487" s="6"/>
      <c r="AN487" s="6"/>
      <c r="AO487" s="6"/>
      <c r="AP487" s="6"/>
      <c r="AQ487" s="6"/>
      <c r="AR487" s="6"/>
      <c r="AS487" s="6"/>
    </row>
    <row r="488" spans="1:45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12"/>
      <c r="AK488" s="12"/>
      <c r="AL488" s="6"/>
      <c r="AM488" s="6"/>
      <c r="AN488" s="6"/>
      <c r="AO488" s="6"/>
      <c r="AP488" s="6"/>
      <c r="AQ488" s="6"/>
      <c r="AR488" s="6"/>
      <c r="AS488" s="6"/>
    </row>
    <row r="489" spans="1:45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12"/>
      <c r="AK489" s="12"/>
      <c r="AL489" s="6"/>
      <c r="AM489" s="6"/>
      <c r="AN489" s="6"/>
      <c r="AO489" s="6"/>
      <c r="AP489" s="6"/>
      <c r="AQ489" s="6"/>
      <c r="AR489" s="6"/>
      <c r="AS489" s="6"/>
    </row>
    <row r="490" spans="1:45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12"/>
      <c r="AK490" s="12"/>
      <c r="AL490" s="6"/>
      <c r="AM490" s="6"/>
      <c r="AN490" s="6"/>
      <c r="AO490" s="6"/>
      <c r="AP490" s="6"/>
      <c r="AQ490" s="6"/>
      <c r="AR490" s="6"/>
      <c r="AS490" s="6"/>
    </row>
    <row r="491" spans="1:45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12"/>
      <c r="AK491" s="12"/>
      <c r="AL491" s="6"/>
      <c r="AM491" s="6"/>
      <c r="AN491" s="6"/>
      <c r="AO491" s="6"/>
      <c r="AP491" s="6"/>
      <c r="AQ491" s="6"/>
      <c r="AR491" s="6"/>
      <c r="AS491" s="6"/>
    </row>
    <row r="492" spans="1:45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12"/>
      <c r="AK492" s="12"/>
      <c r="AL492" s="6"/>
      <c r="AM492" s="6"/>
      <c r="AN492" s="6"/>
      <c r="AO492" s="6"/>
      <c r="AP492" s="6"/>
      <c r="AQ492" s="6"/>
      <c r="AR492" s="6"/>
      <c r="AS492" s="6"/>
    </row>
    <row r="493" spans="1:45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12"/>
      <c r="AK493" s="12"/>
      <c r="AL493" s="6"/>
      <c r="AM493" s="6"/>
      <c r="AN493" s="6"/>
      <c r="AO493" s="6"/>
      <c r="AP493" s="6"/>
      <c r="AQ493" s="6"/>
      <c r="AR493" s="6"/>
      <c r="AS493" s="6"/>
    </row>
    <row r="494" spans="1:45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12"/>
      <c r="AK494" s="12"/>
      <c r="AL494" s="6"/>
      <c r="AM494" s="6"/>
      <c r="AN494" s="6"/>
      <c r="AO494" s="6"/>
      <c r="AP494" s="6"/>
      <c r="AQ494" s="6"/>
      <c r="AR494" s="6"/>
      <c r="AS494" s="6"/>
    </row>
    <row r="495" spans="1:4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12"/>
      <c r="AK495" s="12"/>
      <c r="AL495" s="6"/>
      <c r="AM495" s="6"/>
      <c r="AN495" s="6"/>
      <c r="AO495" s="6"/>
      <c r="AP495" s="6"/>
      <c r="AQ495" s="6"/>
      <c r="AR495" s="6"/>
      <c r="AS495" s="6"/>
    </row>
    <row r="496" spans="1:45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12"/>
      <c r="AK496" s="12"/>
      <c r="AL496" s="6"/>
      <c r="AM496" s="6"/>
      <c r="AN496" s="6"/>
      <c r="AO496" s="6"/>
      <c r="AP496" s="6"/>
      <c r="AQ496" s="6"/>
      <c r="AR496" s="6"/>
      <c r="AS496" s="6"/>
    </row>
    <row r="497" spans="1:45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12"/>
      <c r="AK497" s="12"/>
      <c r="AL497" s="6"/>
      <c r="AM497" s="6"/>
      <c r="AN497" s="6"/>
      <c r="AO497" s="6"/>
      <c r="AP497" s="6"/>
      <c r="AQ497" s="6"/>
      <c r="AR497" s="6"/>
      <c r="AS497" s="6"/>
    </row>
    <row r="498" spans="1:45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12"/>
      <c r="AK498" s="12"/>
      <c r="AL498" s="6"/>
      <c r="AM498" s="6"/>
      <c r="AN498" s="6"/>
      <c r="AO498" s="6"/>
      <c r="AP498" s="6"/>
      <c r="AQ498" s="6"/>
      <c r="AR498" s="6"/>
      <c r="AS498" s="6"/>
    </row>
    <row r="499" spans="1:45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12"/>
      <c r="AK499" s="12"/>
      <c r="AL499" s="6"/>
      <c r="AM499" s="6"/>
      <c r="AN499" s="6"/>
      <c r="AO499" s="6"/>
      <c r="AP499" s="6"/>
      <c r="AQ499" s="6"/>
      <c r="AR499" s="6"/>
      <c r="AS499" s="6"/>
    </row>
    <row r="500" spans="1:45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12"/>
      <c r="AK500" s="12"/>
      <c r="AL500" s="6"/>
      <c r="AM500" s="6"/>
      <c r="AN500" s="6"/>
      <c r="AO500" s="6"/>
      <c r="AP500" s="6"/>
      <c r="AQ500" s="6"/>
      <c r="AR500" s="6"/>
      <c r="AS500" s="6"/>
    </row>
    <row r="501" spans="1:45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12"/>
      <c r="AK501" s="12"/>
      <c r="AL501" s="6"/>
      <c r="AM501" s="6"/>
      <c r="AN501" s="6"/>
      <c r="AO501" s="6"/>
      <c r="AP501" s="6"/>
      <c r="AQ501" s="6"/>
      <c r="AR501" s="6"/>
      <c r="AS501" s="6"/>
    </row>
    <row r="502" spans="1:45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12"/>
      <c r="AK502" s="12"/>
      <c r="AL502" s="6"/>
      <c r="AM502" s="6"/>
      <c r="AN502" s="6"/>
      <c r="AO502" s="6"/>
      <c r="AP502" s="6"/>
      <c r="AQ502" s="6"/>
      <c r="AR502" s="6"/>
      <c r="AS502" s="6"/>
    </row>
    <row r="503" spans="1:45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12"/>
      <c r="AK503" s="12"/>
      <c r="AL503" s="6"/>
      <c r="AM503" s="6"/>
      <c r="AN503" s="6"/>
      <c r="AO503" s="6"/>
      <c r="AP503" s="6"/>
      <c r="AQ503" s="6"/>
      <c r="AR503" s="6"/>
      <c r="AS503" s="6"/>
    </row>
    <row r="504" spans="1:45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12"/>
      <c r="AK504" s="12"/>
      <c r="AL504" s="6"/>
      <c r="AM504" s="6"/>
      <c r="AN504" s="6"/>
      <c r="AO504" s="6"/>
      <c r="AP504" s="6"/>
      <c r="AQ504" s="6"/>
      <c r="AR504" s="6"/>
      <c r="AS504" s="6"/>
    </row>
    <row r="505" spans="1:4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12"/>
      <c r="AK505" s="12"/>
      <c r="AL505" s="6"/>
      <c r="AM505" s="6"/>
      <c r="AN505" s="6"/>
      <c r="AO505" s="6"/>
      <c r="AP505" s="6"/>
      <c r="AQ505" s="6"/>
      <c r="AR505" s="6"/>
      <c r="AS505" s="6"/>
    </row>
    <row r="506" spans="1:45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12"/>
      <c r="AK506" s="12"/>
      <c r="AL506" s="6"/>
      <c r="AM506" s="6"/>
      <c r="AN506" s="6"/>
      <c r="AO506" s="6"/>
      <c r="AP506" s="6"/>
      <c r="AQ506" s="6"/>
      <c r="AR506" s="6"/>
      <c r="AS506" s="6"/>
    </row>
    <row r="507" spans="1:45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12"/>
      <c r="AK507" s="12"/>
      <c r="AL507" s="6"/>
      <c r="AM507" s="6"/>
      <c r="AN507" s="6"/>
      <c r="AO507" s="6"/>
      <c r="AP507" s="6"/>
      <c r="AQ507" s="6"/>
      <c r="AR507" s="6"/>
      <c r="AS507" s="6"/>
    </row>
    <row r="508" spans="1:45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12"/>
      <c r="AK508" s="12"/>
      <c r="AL508" s="6"/>
      <c r="AM508" s="6"/>
      <c r="AN508" s="6"/>
      <c r="AO508" s="6"/>
      <c r="AP508" s="6"/>
      <c r="AQ508" s="6"/>
      <c r="AR508" s="6"/>
      <c r="AS508" s="6"/>
    </row>
    <row r="509" spans="1:45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12"/>
      <c r="AK509" s="12"/>
      <c r="AL509" s="6"/>
      <c r="AM509" s="6"/>
      <c r="AN509" s="6"/>
      <c r="AO509" s="6"/>
      <c r="AP509" s="6"/>
      <c r="AQ509" s="6"/>
      <c r="AR509" s="6"/>
      <c r="AS509" s="6"/>
    </row>
    <row r="510" spans="1:45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12"/>
      <c r="AK510" s="12"/>
      <c r="AL510" s="6"/>
      <c r="AM510" s="6"/>
      <c r="AN510" s="6"/>
      <c r="AO510" s="6"/>
      <c r="AP510" s="6"/>
      <c r="AQ510" s="6"/>
      <c r="AR510" s="6"/>
      <c r="AS510" s="6"/>
    </row>
    <row r="511" spans="1:45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12"/>
      <c r="AK511" s="12"/>
      <c r="AL511" s="6"/>
      <c r="AM511" s="6"/>
      <c r="AN511" s="6"/>
      <c r="AO511" s="6"/>
      <c r="AP511" s="6"/>
      <c r="AQ511" s="6"/>
      <c r="AR511" s="6"/>
      <c r="AS511" s="6"/>
    </row>
    <row r="512" spans="1:45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12"/>
      <c r="AK512" s="12"/>
      <c r="AL512" s="6"/>
      <c r="AM512" s="6"/>
      <c r="AN512" s="6"/>
      <c r="AO512" s="6"/>
      <c r="AP512" s="6"/>
      <c r="AQ512" s="6"/>
      <c r="AR512" s="6"/>
      <c r="AS512" s="6"/>
    </row>
    <row r="513" spans="1:45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12"/>
      <c r="AK513" s="12"/>
      <c r="AL513" s="6"/>
      <c r="AM513" s="6"/>
      <c r="AN513" s="6"/>
      <c r="AO513" s="6"/>
      <c r="AP513" s="6"/>
      <c r="AQ513" s="6"/>
      <c r="AR513" s="6"/>
      <c r="AS513" s="6"/>
    </row>
    <row r="514" spans="1:45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12"/>
      <c r="AK514" s="12"/>
      <c r="AL514" s="6"/>
      <c r="AM514" s="6"/>
      <c r="AN514" s="6"/>
      <c r="AO514" s="6"/>
      <c r="AP514" s="6"/>
      <c r="AQ514" s="6"/>
      <c r="AR514" s="6"/>
      <c r="AS514" s="6"/>
    </row>
    <row r="515" spans="1:4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12"/>
      <c r="AK515" s="12"/>
      <c r="AL515" s="6"/>
      <c r="AM515" s="6"/>
      <c r="AN515" s="6"/>
      <c r="AO515" s="6"/>
      <c r="AP515" s="6"/>
      <c r="AQ515" s="6"/>
      <c r="AR515" s="6"/>
      <c r="AS515" s="6"/>
    </row>
    <row r="516" spans="1:45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12"/>
      <c r="AK516" s="12"/>
      <c r="AL516" s="6"/>
      <c r="AM516" s="6"/>
      <c r="AN516" s="6"/>
      <c r="AO516" s="6"/>
      <c r="AP516" s="6"/>
      <c r="AQ516" s="6"/>
      <c r="AR516" s="6"/>
      <c r="AS516" s="6"/>
    </row>
    <row r="517" spans="1:45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12"/>
      <c r="AK517" s="12"/>
      <c r="AL517" s="6"/>
      <c r="AM517" s="6"/>
      <c r="AN517" s="6"/>
      <c r="AO517" s="6"/>
      <c r="AP517" s="6"/>
      <c r="AQ517" s="6"/>
      <c r="AR517" s="6"/>
      <c r="AS517" s="6"/>
    </row>
    <row r="518" spans="1:45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12"/>
      <c r="AK518" s="12"/>
      <c r="AL518" s="6"/>
      <c r="AM518" s="6"/>
      <c r="AN518" s="6"/>
      <c r="AO518" s="6"/>
      <c r="AP518" s="6"/>
      <c r="AQ518" s="6"/>
      <c r="AR518" s="6"/>
      <c r="AS518" s="6"/>
    </row>
    <row r="519" spans="1:45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12"/>
      <c r="AK519" s="12"/>
      <c r="AL519" s="6"/>
      <c r="AM519" s="6"/>
      <c r="AN519" s="6"/>
      <c r="AO519" s="6"/>
      <c r="AP519" s="6"/>
      <c r="AQ519" s="6"/>
      <c r="AR519" s="6"/>
      <c r="AS519" s="6"/>
    </row>
    <row r="520" spans="1:45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12"/>
      <c r="AK520" s="12"/>
      <c r="AL520" s="6"/>
      <c r="AM520" s="6"/>
      <c r="AN520" s="6"/>
      <c r="AO520" s="6"/>
      <c r="AP520" s="6"/>
      <c r="AQ520" s="6"/>
      <c r="AR520" s="6"/>
      <c r="AS520" s="6"/>
    </row>
    <row r="521" spans="1:45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12"/>
      <c r="AK521" s="12"/>
      <c r="AL521" s="6"/>
      <c r="AM521" s="6"/>
      <c r="AN521" s="6"/>
      <c r="AO521" s="6"/>
      <c r="AP521" s="6"/>
      <c r="AQ521" s="6"/>
      <c r="AR521" s="6"/>
      <c r="AS521" s="6"/>
    </row>
    <row r="522" spans="1:45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12"/>
      <c r="AK522" s="12"/>
      <c r="AL522" s="6"/>
      <c r="AM522" s="6"/>
      <c r="AN522" s="6"/>
      <c r="AO522" s="6"/>
      <c r="AP522" s="6"/>
      <c r="AQ522" s="6"/>
      <c r="AR522" s="6"/>
      <c r="AS522" s="6"/>
    </row>
    <row r="523" spans="1:45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12"/>
      <c r="AK523" s="12"/>
      <c r="AL523" s="6"/>
      <c r="AM523" s="6"/>
      <c r="AN523" s="6"/>
      <c r="AO523" s="6"/>
      <c r="AP523" s="6"/>
      <c r="AQ523" s="6"/>
      <c r="AR523" s="6"/>
      <c r="AS523" s="6"/>
    </row>
    <row r="524" spans="1:45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12"/>
      <c r="AK524" s="12"/>
      <c r="AL524" s="6"/>
      <c r="AM524" s="6"/>
      <c r="AN524" s="6"/>
      <c r="AO524" s="6"/>
      <c r="AP524" s="6"/>
      <c r="AQ524" s="6"/>
      <c r="AR524" s="6"/>
      <c r="AS524" s="6"/>
    </row>
    <row r="525" spans="1:4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12"/>
      <c r="AK525" s="12"/>
      <c r="AL525" s="6"/>
      <c r="AM525" s="6"/>
      <c r="AN525" s="6"/>
      <c r="AO525" s="6"/>
      <c r="AP525" s="6"/>
      <c r="AQ525" s="6"/>
      <c r="AR525" s="6"/>
      <c r="AS525" s="6"/>
    </row>
    <row r="526" spans="1:45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12"/>
      <c r="AK526" s="12"/>
      <c r="AL526" s="6"/>
      <c r="AM526" s="6"/>
      <c r="AN526" s="6"/>
      <c r="AO526" s="6"/>
      <c r="AP526" s="6"/>
      <c r="AQ526" s="6"/>
      <c r="AR526" s="6"/>
      <c r="AS526" s="6"/>
    </row>
    <row r="527" spans="1:45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12"/>
      <c r="AK527" s="12"/>
      <c r="AL527" s="6"/>
      <c r="AM527" s="6"/>
      <c r="AN527" s="6"/>
      <c r="AO527" s="6"/>
      <c r="AP527" s="6"/>
      <c r="AQ527" s="6"/>
      <c r="AR527" s="6"/>
      <c r="AS527" s="6"/>
    </row>
    <row r="528" spans="1:45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12"/>
      <c r="AK528" s="12"/>
      <c r="AL528" s="6"/>
      <c r="AM528" s="6"/>
      <c r="AN528" s="6"/>
      <c r="AO528" s="6"/>
      <c r="AP528" s="6"/>
      <c r="AQ528" s="6"/>
      <c r="AR528" s="6"/>
      <c r="AS528" s="6"/>
    </row>
    <row r="529" spans="1:45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12"/>
      <c r="AK529" s="12"/>
      <c r="AL529" s="6"/>
      <c r="AM529" s="6"/>
      <c r="AN529" s="6"/>
      <c r="AO529" s="6"/>
      <c r="AP529" s="6"/>
      <c r="AQ529" s="6"/>
      <c r="AR529" s="6"/>
      <c r="AS529" s="6"/>
    </row>
    <row r="530" spans="1:45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12"/>
      <c r="AK530" s="12"/>
      <c r="AL530" s="6"/>
      <c r="AM530" s="6"/>
      <c r="AN530" s="6"/>
      <c r="AO530" s="6"/>
      <c r="AP530" s="6"/>
      <c r="AQ530" s="6"/>
      <c r="AR530" s="6"/>
      <c r="AS530" s="6"/>
    </row>
    <row r="531" spans="1:45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12"/>
      <c r="AK531" s="12"/>
      <c r="AL531" s="6"/>
      <c r="AM531" s="6"/>
      <c r="AN531" s="6"/>
      <c r="AO531" s="6"/>
      <c r="AP531" s="6"/>
      <c r="AQ531" s="6"/>
      <c r="AR531" s="6"/>
      <c r="AS531" s="6"/>
    </row>
    <row r="532" spans="1:45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12"/>
      <c r="AK532" s="12"/>
      <c r="AL532" s="6"/>
      <c r="AM532" s="6"/>
      <c r="AN532" s="6"/>
      <c r="AO532" s="6"/>
      <c r="AP532" s="6"/>
      <c r="AQ532" s="6"/>
      <c r="AR532" s="6"/>
      <c r="AS532" s="6"/>
    </row>
    <row r="533" spans="1:45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12"/>
      <c r="AK533" s="12"/>
      <c r="AL533" s="6"/>
      <c r="AM533" s="6"/>
      <c r="AN533" s="6"/>
      <c r="AO533" s="6"/>
      <c r="AP533" s="6"/>
      <c r="AQ533" s="6"/>
      <c r="AR533" s="6"/>
      <c r="AS533" s="6"/>
    </row>
    <row r="534" spans="1:45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12"/>
      <c r="AK534" s="12"/>
      <c r="AL534" s="6"/>
      <c r="AM534" s="6"/>
      <c r="AN534" s="6"/>
      <c r="AO534" s="6"/>
      <c r="AP534" s="6"/>
      <c r="AQ534" s="6"/>
      <c r="AR534" s="6"/>
      <c r="AS534" s="6"/>
    </row>
    <row r="535" spans="1:4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12"/>
      <c r="AK535" s="12"/>
      <c r="AL535" s="6"/>
      <c r="AM535" s="6"/>
      <c r="AN535" s="6"/>
      <c r="AO535" s="6"/>
      <c r="AP535" s="6"/>
      <c r="AQ535" s="6"/>
      <c r="AR535" s="6"/>
      <c r="AS535" s="6"/>
    </row>
    <row r="536" spans="1:45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12"/>
      <c r="AK536" s="12"/>
      <c r="AL536" s="6"/>
      <c r="AM536" s="6"/>
      <c r="AN536" s="6"/>
      <c r="AO536" s="6"/>
      <c r="AP536" s="6"/>
      <c r="AQ536" s="6"/>
      <c r="AR536" s="6"/>
      <c r="AS536" s="6"/>
    </row>
    <row r="537" spans="1:45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12"/>
      <c r="AK537" s="12"/>
      <c r="AL537" s="6"/>
      <c r="AM537" s="6"/>
      <c r="AN537" s="6"/>
      <c r="AO537" s="6"/>
      <c r="AP537" s="6"/>
      <c r="AQ537" s="6"/>
      <c r="AR537" s="6"/>
      <c r="AS537" s="6"/>
    </row>
    <row r="538" spans="1:45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12"/>
      <c r="AK538" s="12"/>
      <c r="AL538" s="6"/>
      <c r="AM538" s="6"/>
      <c r="AN538" s="6"/>
      <c r="AO538" s="6"/>
      <c r="AP538" s="6"/>
      <c r="AQ538" s="6"/>
      <c r="AR538" s="6"/>
      <c r="AS538" s="6"/>
    </row>
    <row r="539" spans="1:45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12"/>
      <c r="AK539" s="12"/>
      <c r="AL539" s="6"/>
      <c r="AM539" s="6"/>
      <c r="AN539" s="6"/>
      <c r="AO539" s="6"/>
      <c r="AP539" s="6"/>
      <c r="AQ539" s="6"/>
      <c r="AR539" s="6"/>
      <c r="AS539" s="6"/>
    </row>
    <row r="540" spans="1:45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12"/>
      <c r="AK540" s="12"/>
      <c r="AL540" s="6"/>
      <c r="AM540" s="6"/>
      <c r="AN540" s="6"/>
      <c r="AO540" s="6"/>
      <c r="AP540" s="6"/>
      <c r="AQ540" s="6"/>
      <c r="AR540" s="6"/>
      <c r="AS540" s="6"/>
    </row>
    <row r="541" spans="1:45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12"/>
      <c r="AK541" s="12"/>
      <c r="AL541" s="6"/>
      <c r="AM541" s="6"/>
      <c r="AN541" s="6"/>
      <c r="AO541" s="6"/>
      <c r="AP541" s="6"/>
      <c r="AQ541" s="6"/>
      <c r="AR541" s="6"/>
      <c r="AS541" s="6"/>
    </row>
    <row r="542" spans="1:45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12"/>
      <c r="AK542" s="12"/>
      <c r="AL542" s="6"/>
      <c r="AM542" s="6"/>
      <c r="AN542" s="6"/>
      <c r="AO542" s="6"/>
      <c r="AP542" s="6"/>
      <c r="AQ542" s="6"/>
      <c r="AR542" s="6"/>
      <c r="AS542" s="6"/>
    </row>
    <row r="543" spans="1:45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12"/>
      <c r="AK543" s="12"/>
      <c r="AL543" s="6"/>
      <c r="AM543" s="6"/>
      <c r="AN543" s="6"/>
      <c r="AO543" s="6"/>
      <c r="AP543" s="6"/>
      <c r="AQ543" s="6"/>
      <c r="AR543" s="6"/>
      <c r="AS543" s="6"/>
    </row>
    <row r="544" spans="1:45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12"/>
      <c r="AK544" s="12"/>
      <c r="AL544" s="6"/>
      <c r="AM544" s="6"/>
      <c r="AN544" s="6"/>
      <c r="AO544" s="6"/>
      <c r="AP544" s="6"/>
      <c r="AQ544" s="6"/>
      <c r="AR544" s="6"/>
      <c r="AS544" s="6"/>
    </row>
    <row r="545" spans="1: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12"/>
      <c r="AK545" s="12"/>
      <c r="AL545" s="6"/>
      <c r="AM545" s="6"/>
      <c r="AN545" s="6"/>
      <c r="AO545" s="6"/>
      <c r="AP545" s="6"/>
      <c r="AQ545" s="6"/>
      <c r="AR545" s="6"/>
      <c r="AS545" s="6"/>
    </row>
    <row r="546" spans="1:45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12"/>
      <c r="AK546" s="12"/>
      <c r="AL546" s="6"/>
      <c r="AM546" s="6"/>
      <c r="AN546" s="6"/>
      <c r="AO546" s="6"/>
      <c r="AP546" s="6"/>
      <c r="AQ546" s="6"/>
      <c r="AR546" s="6"/>
      <c r="AS546" s="6"/>
    </row>
    <row r="547" spans="1:45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12"/>
      <c r="AK547" s="12"/>
      <c r="AL547" s="6"/>
      <c r="AM547" s="6"/>
      <c r="AN547" s="6"/>
      <c r="AO547" s="6"/>
      <c r="AP547" s="6"/>
      <c r="AQ547" s="6"/>
      <c r="AR547" s="6"/>
      <c r="AS547" s="6"/>
    </row>
    <row r="548" spans="1:45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12"/>
      <c r="AK548" s="12"/>
      <c r="AL548" s="6"/>
      <c r="AM548" s="6"/>
      <c r="AN548" s="6"/>
      <c r="AO548" s="6"/>
      <c r="AP548" s="6"/>
      <c r="AQ548" s="6"/>
      <c r="AR548" s="6"/>
      <c r="AS548" s="6"/>
    </row>
    <row r="549" spans="1:45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12"/>
      <c r="AK549" s="12"/>
      <c r="AL549" s="6"/>
      <c r="AM549" s="6"/>
      <c r="AN549" s="6"/>
      <c r="AO549" s="6"/>
      <c r="AP549" s="6"/>
      <c r="AQ549" s="6"/>
      <c r="AR549" s="6"/>
      <c r="AS549" s="6"/>
    </row>
    <row r="550" spans="1:45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12"/>
      <c r="AK550" s="12"/>
      <c r="AL550" s="6"/>
      <c r="AM550" s="6"/>
      <c r="AN550" s="6"/>
      <c r="AO550" s="6"/>
      <c r="AP550" s="6"/>
      <c r="AQ550" s="6"/>
      <c r="AR550" s="6"/>
      <c r="AS550" s="6"/>
    </row>
    <row r="551" spans="1:45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12"/>
      <c r="AK551" s="12"/>
      <c r="AL551" s="6"/>
      <c r="AM551" s="6"/>
      <c r="AN551" s="6"/>
      <c r="AO551" s="6"/>
      <c r="AP551" s="6"/>
      <c r="AQ551" s="6"/>
      <c r="AR551" s="6"/>
      <c r="AS551" s="6"/>
    </row>
    <row r="552" spans="1:45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12"/>
      <c r="AK552" s="12"/>
      <c r="AL552" s="6"/>
      <c r="AM552" s="6"/>
      <c r="AN552" s="6"/>
      <c r="AO552" s="6"/>
      <c r="AP552" s="6"/>
      <c r="AQ552" s="6"/>
      <c r="AR552" s="6"/>
      <c r="AS552" s="6"/>
    </row>
    <row r="553" spans="1:45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12"/>
      <c r="AK553" s="12"/>
      <c r="AL553" s="6"/>
      <c r="AM553" s="6"/>
      <c r="AN553" s="6"/>
      <c r="AO553" s="6"/>
      <c r="AP553" s="6"/>
      <c r="AQ553" s="6"/>
      <c r="AR553" s="6"/>
      <c r="AS553" s="6"/>
    </row>
    <row r="554" spans="1:45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12"/>
      <c r="AK554" s="12"/>
      <c r="AL554" s="6"/>
      <c r="AM554" s="6"/>
      <c r="AN554" s="6"/>
      <c r="AO554" s="6"/>
      <c r="AP554" s="6"/>
      <c r="AQ554" s="6"/>
      <c r="AR554" s="6"/>
      <c r="AS554" s="6"/>
    </row>
    <row r="555" spans="1:4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12"/>
      <c r="AK555" s="12"/>
      <c r="AL555" s="6"/>
      <c r="AM555" s="6"/>
      <c r="AN555" s="6"/>
      <c r="AO555" s="6"/>
      <c r="AP555" s="6"/>
      <c r="AQ555" s="6"/>
      <c r="AR555" s="6"/>
      <c r="AS555" s="6"/>
    </row>
    <row r="556" spans="1:45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12"/>
      <c r="AK556" s="12"/>
      <c r="AL556" s="6"/>
      <c r="AM556" s="6"/>
      <c r="AN556" s="6"/>
      <c r="AO556" s="6"/>
      <c r="AP556" s="6"/>
      <c r="AQ556" s="6"/>
      <c r="AR556" s="6"/>
      <c r="AS556" s="6"/>
    </row>
    <row r="557" spans="1:45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12"/>
      <c r="AK557" s="12"/>
      <c r="AL557" s="6"/>
      <c r="AM557" s="6"/>
      <c r="AN557" s="6"/>
      <c r="AO557" s="6"/>
      <c r="AP557" s="6"/>
      <c r="AQ557" s="6"/>
      <c r="AR557" s="6"/>
      <c r="AS557" s="6"/>
    </row>
    <row r="558" spans="1:45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12"/>
      <c r="AK558" s="12"/>
      <c r="AL558" s="6"/>
      <c r="AM558" s="6"/>
      <c r="AN558" s="6"/>
      <c r="AO558" s="6"/>
      <c r="AP558" s="6"/>
      <c r="AQ558" s="6"/>
      <c r="AR558" s="6"/>
      <c r="AS558" s="6"/>
    </row>
    <row r="559" spans="1:45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12"/>
      <c r="AK559" s="12"/>
      <c r="AL559" s="6"/>
      <c r="AM559" s="6"/>
      <c r="AN559" s="6"/>
      <c r="AO559" s="6"/>
      <c r="AP559" s="6"/>
      <c r="AQ559" s="6"/>
      <c r="AR559" s="6"/>
      <c r="AS559" s="6"/>
    </row>
    <row r="560" spans="1:45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12"/>
      <c r="AK560" s="12"/>
      <c r="AL560" s="6"/>
      <c r="AM560" s="6"/>
      <c r="AN560" s="6"/>
      <c r="AO560" s="6"/>
      <c r="AP560" s="6"/>
      <c r="AQ560" s="6"/>
      <c r="AR560" s="6"/>
      <c r="AS560" s="6"/>
    </row>
    <row r="561" spans="1:45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12"/>
      <c r="AK561" s="12"/>
      <c r="AL561" s="6"/>
      <c r="AM561" s="6"/>
      <c r="AN561" s="6"/>
      <c r="AO561" s="6"/>
      <c r="AP561" s="6"/>
      <c r="AQ561" s="6"/>
      <c r="AR561" s="6"/>
      <c r="AS561" s="6"/>
    </row>
    <row r="562" spans="1:45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12"/>
      <c r="AK562" s="12"/>
      <c r="AL562" s="6"/>
      <c r="AM562" s="6"/>
      <c r="AN562" s="6"/>
      <c r="AO562" s="6"/>
      <c r="AP562" s="6"/>
      <c r="AQ562" s="6"/>
      <c r="AR562" s="6"/>
      <c r="AS562" s="6"/>
    </row>
    <row r="563" spans="1:45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12"/>
      <c r="AK563" s="12"/>
      <c r="AL563" s="6"/>
      <c r="AM563" s="6"/>
      <c r="AN563" s="6"/>
      <c r="AO563" s="6"/>
      <c r="AP563" s="6"/>
      <c r="AQ563" s="6"/>
      <c r="AR563" s="6"/>
      <c r="AS563" s="6"/>
    </row>
    <row r="564" spans="1:45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12"/>
      <c r="AK564" s="12"/>
      <c r="AL564" s="6"/>
      <c r="AM564" s="6"/>
      <c r="AN564" s="6"/>
      <c r="AO564" s="6"/>
      <c r="AP564" s="6"/>
      <c r="AQ564" s="6"/>
      <c r="AR564" s="6"/>
      <c r="AS564" s="6"/>
    </row>
    <row r="565" spans="1:4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12"/>
      <c r="AK565" s="12"/>
      <c r="AL565" s="6"/>
      <c r="AM565" s="6"/>
      <c r="AN565" s="6"/>
      <c r="AO565" s="6"/>
      <c r="AP565" s="6"/>
      <c r="AQ565" s="6"/>
      <c r="AR565" s="6"/>
      <c r="AS565" s="6"/>
    </row>
    <row r="566" spans="1:45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12"/>
      <c r="AK566" s="12"/>
      <c r="AL566" s="6"/>
      <c r="AM566" s="6"/>
      <c r="AN566" s="6"/>
      <c r="AO566" s="6"/>
      <c r="AP566" s="6"/>
      <c r="AQ566" s="6"/>
      <c r="AR566" s="6"/>
      <c r="AS566" s="6"/>
    </row>
    <row r="567" spans="1:45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12"/>
      <c r="AK567" s="12"/>
      <c r="AL567" s="6"/>
      <c r="AM567" s="6"/>
      <c r="AN567" s="6"/>
      <c r="AO567" s="6"/>
      <c r="AP567" s="6"/>
      <c r="AQ567" s="6"/>
      <c r="AR567" s="6"/>
      <c r="AS567" s="6"/>
    </row>
    <row r="568" spans="1:45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12"/>
      <c r="AK568" s="12"/>
      <c r="AL568" s="6"/>
      <c r="AM568" s="6"/>
      <c r="AN568" s="6"/>
      <c r="AO568" s="6"/>
      <c r="AP568" s="6"/>
      <c r="AQ568" s="6"/>
      <c r="AR568" s="6"/>
      <c r="AS568" s="6"/>
    </row>
    <row r="569" spans="1:45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12"/>
      <c r="AK569" s="12"/>
      <c r="AL569" s="6"/>
      <c r="AM569" s="6"/>
      <c r="AN569" s="6"/>
      <c r="AO569" s="6"/>
      <c r="AP569" s="6"/>
      <c r="AQ569" s="6"/>
      <c r="AR569" s="6"/>
      <c r="AS569" s="6"/>
    </row>
    <row r="570" spans="1:45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12"/>
      <c r="AK570" s="12"/>
      <c r="AL570" s="6"/>
      <c r="AM570" s="6"/>
      <c r="AN570" s="6"/>
      <c r="AO570" s="6"/>
      <c r="AP570" s="6"/>
      <c r="AQ570" s="6"/>
      <c r="AR570" s="6"/>
      <c r="AS570" s="6"/>
    </row>
    <row r="571" spans="1:45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12"/>
      <c r="AK571" s="12"/>
      <c r="AL571" s="6"/>
      <c r="AM571" s="6"/>
      <c r="AN571" s="6"/>
      <c r="AO571" s="6"/>
      <c r="AP571" s="6"/>
      <c r="AQ571" s="6"/>
      <c r="AR571" s="6"/>
      <c r="AS571" s="6"/>
    </row>
    <row r="572" spans="1:45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12"/>
      <c r="AK572" s="12"/>
      <c r="AL572" s="6"/>
      <c r="AM572" s="6"/>
      <c r="AN572" s="6"/>
      <c r="AO572" s="6"/>
      <c r="AP572" s="6"/>
      <c r="AQ572" s="6"/>
      <c r="AR572" s="6"/>
      <c r="AS572" s="6"/>
    </row>
    <row r="573" spans="1:45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12"/>
      <c r="AK573" s="12"/>
      <c r="AL573" s="6"/>
      <c r="AM573" s="6"/>
      <c r="AN573" s="6"/>
      <c r="AO573" s="6"/>
      <c r="AP573" s="6"/>
      <c r="AQ573" s="6"/>
      <c r="AR573" s="6"/>
      <c r="AS573" s="6"/>
    </row>
    <row r="574" spans="1:45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12"/>
      <c r="AK574" s="12"/>
      <c r="AL574" s="6"/>
      <c r="AM574" s="6"/>
      <c r="AN574" s="6"/>
      <c r="AO574" s="6"/>
      <c r="AP574" s="6"/>
      <c r="AQ574" s="6"/>
      <c r="AR574" s="6"/>
      <c r="AS574" s="6"/>
    </row>
    <row r="575" spans="1:4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12"/>
      <c r="AK575" s="12"/>
      <c r="AL575" s="6"/>
      <c r="AM575" s="6"/>
      <c r="AN575" s="6"/>
      <c r="AO575" s="6"/>
      <c r="AP575" s="6"/>
      <c r="AQ575" s="6"/>
      <c r="AR575" s="6"/>
      <c r="AS575" s="6"/>
    </row>
    <row r="576" spans="1:45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12"/>
      <c r="AK576" s="12"/>
      <c r="AL576" s="6"/>
      <c r="AM576" s="6"/>
      <c r="AN576" s="6"/>
      <c r="AO576" s="6"/>
      <c r="AP576" s="6"/>
      <c r="AQ576" s="6"/>
      <c r="AR576" s="6"/>
      <c r="AS576" s="6"/>
    </row>
    <row r="577" spans="1:45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12"/>
      <c r="AK577" s="12"/>
      <c r="AL577" s="6"/>
      <c r="AM577" s="6"/>
      <c r="AN577" s="6"/>
      <c r="AO577" s="6"/>
      <c r="AP577" s="6"/>
      <c r="AQ577" s="6"/>
      <c r="AR577" s="6"/>
      <c r="AS577" s="6"/>
    </row>
    <row r="578" spans="1:45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12"/>
      <c r="AK578" s="12"/>
      <c r="AL578" s="6"/>
      <c r="AM578" s="6"/>
      <c r="AN578" s="6"/>
      <c r="AO578" s="6"/>
      <c r="AP578" s="6"/>
      <c r="AQ578" s="6"/>
      <c r="AR578" s="6"/>
      <c r="AS578" s="6"/>
    </row>
    <row r="579" spans="1:45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12"/>
      <c r="AK579" s="12"/>
      <c r="AL579" s="6"/>
      <c r="AM579" s="6"/>
      <c r="AN579" s="6"/>
      <c r="AO579" s="6"/>
      <c r="AP579" s="6"/>
      <c r="AQ579" s="6"/>
      <c r="AR579" s="6"/>
      <c r="AS579" s="6"/>
    </row>
    <row r="580" spans="1:45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12"/>
      <c r="AK580" s="12"/>
      <c r="AL580" s="6"/>
      <c r="AM580" s="6"/>
      <c r="AN580" s="6"/>
      <c r="AO580" s="6"/>
      <c r="AP580" s="6"/>
      <c r="AQ580" s="6"/>
      <c r="AR580" s="6"/>
      <c r="AS580" s="6"/>
    </row>
    <row r="581" spans="1:45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12"/>
      <c r="AK581" s="12"/>
      <c r="AL581" s="6"/>
      <c r="AM581" s="6"/>
      <c r="AN581" s="6"/>
      <c r="AO581" s="6"/>
      <c r="AP581" s="6"/>
      <c r="AQ581" s="6"/>
      <c r="AR581" s="6"/>
      <c r="AS581" s="6"/>
    </row>
    <row r="582" spans="1:45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12"/>
      <c r="AK582" s="12"/>
      <c r="AL582" s="6"/>
      <c r="AM582" s="6"/>
      <c r="AN582" s="6"/>
      <c r="AO582" s="6"/>
      <c r="AP582" s="6"/>
      <c r="AQ582" s="6"/>
      <c r="AR582" s="6"/>
      <c r="AS582" s="6"/>
    </row>
    <row r="583" spans="1:45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12"/>
      <c r="AK583" s="12"/>
      <c r="AL583" s="6"/>
      <c r="AM583" s="6"/>
      <c r="AN583" s="6"/>
      <c r="AO583" s="6"/>
      <c r="AP583" s="6"/>
      <c r="AQ583" s="6"/>
      <c r="AR583" s="6"/>
      <c r="AS583" s="6"/>
    </row>
    <row r="584" spans="1:45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12"/>
      <c r="AK584" s="12"/>
      <c r="AL584" s="6"/>
      <c r="AM584" s="6"/>
      <c r="AN584" s="6"/>
      <c r="AO584" s="6"/>
      <c r="AP584" s="6"/>
      <c r="AQ584" s="6"/>
      <c r="AR584" s="6"/>
      <c r="AS584" s="6"/>
    </row>
    <row r="585" spans="1:4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12"/>
      <c r="AK585" s="12"/>
      <c r="AL585" s="6"/>
      <c r="AM585" s="6"/>
      <c r="AN585" s="6"/>
      <c r="AO585" s="6"/>
      <c r="AP585" s="6"/>
      <c r="AQ585" s="6"/>
      <c r="AR585" s="6"/>
      <c r="AS585" s="6"/>
    </row>
    <row r="586" spans="1:45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12"/>
      <c r="AK586" s="12"/>
      <c r="AL586" s="6"/>
      <c r="AM586" s="6"/>
      <c r="AN586" s="6"/>
      <c r="AO586" s="6"/>
      <c r="AP586" s="6"/>
      <c r="AQ586" s="6"/>
      <c r="AR586" s="6"/>
      <c r="AS586" s="6"/>
    </row>
    <row r="587" spans="1:45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12"/>
      <c r="AK587" s="12"/>
      <c r="AL587" s="6"/>
      <c r="AM587" s="6"/>
      <c r="AN587" s="6"/>
      <c r="AO587" s="6"/>
      <c r="AP587" s="6"/>
      <c r="AQ587" s="6"/>
      <c r="AR587" s="6"/>
      <c r="AS587" s="6"/>
    </row>
    <row r="588" spans="1:45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12"/>
      <c r="AK588" s="12"/>
      <c r="AL588" s="6"/>
      <c r="AM588" s="6"/>
      <c r="AN588" s="6"/>
      <c r="AO588" s="6"/>
      <c r="AP588" s="6"/>
      <c r="AQ588" s="6"/>
      <c r="AR588" s="6"/>
      <c r="AS588" s="6"/>
    </row>
    <row r="589" spans="1:45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12"/>
      <c r="AK589" s="12"/>
      <c r="AL589" s="6"/>
      <c r="AM589" s="6"/>
      <c r="AN589" s="6"/>
      <c r="AO589" s="6"/>
      <c r="AP589" s="6"/>
      <c r="AQ589" s="6"/>
      <c r="AR589" s="6"/>
      <c r="AS589" s="6"/>
    </row>
    <row r="590" spans="1:45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12"/>
      <c r="AK590" s="12"/>
      <c r="AL590" s="6"/>
      <c r="AM590" s="6"/>
      <c r="AN590" s="6"/>
      <c r="AO590" s="6"/>
      <c r="AP590" s="6"/>
      <c r="AQ590" s="6"/>
      <c r="AR590" s="6"/>
      <c r="AS590" s="6"/>
    </row>
    <row r="591" spans="1:45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12"/>
      <c r="AK591" s="12"/>
      <c r="AL591" s="6"/>
      <c r="AM591" s="6"/>
      <c r="AN591" s="6"/>
      <c r="AO591" s="6"/>
      <c r="AP591" s="6"/>
      <c r="AQ591" s="6"/>
      <c r="AR591" s="6"/>
      <c r="AS591" s="6"/>
    </row>
    <row r="592" spans="1:45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12"/>
      <c r="AK592" s="12"/>
      <c r="AL592" s="6"/>
      <c r="AM592" s="6"/>
      <c r="AN592" s="6"/>
      <c r="AO592" s="6"/>
      <c r="AP592" s="6"/>
      <c r="AQ592" s="6"/>
      <c r="AR592" s="6"/>
      <c r="AS592" s="6"/>
    </row>
    <row r="593" spans="1:45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12"/>
      <c r="AK593" s="12"/>
      <c r="AL593" s="6"/>
      <c r="AM593" s="6"/>
      <c r="AN593" s="6"/>
      <c r="AO593" s="6"/>
      <c r="AP593" s="6"/>
      <c r="AQ593" s="6"/>
      <c r="AR593" s="6"/>
      <c r="AS593" s="6"/>
    </row>
    <row r="594" spans="1:45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12"/>
      <c r="AK594" s="12"/>
      <c r="AL594" s="6"/>
      <c r="AM594" s="6"/>
      <c r="AN594" s="6"/>
      <c r="AO594" s="6"/>
      <c r="AP594" s="6"/>
      <c r="AQ594" s="6"/>
      <c r="AR594" s="6"/>
      <c r="AS594" s="6"/>
    </row>
    <row r="595" spans="1:4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12"/>
      <c r="AK595" s="12"/>
      <c r="AL595" s="6"/>
      <c r="AM595" s="6"/>
      <c r="AN595" s="6"/>
      <c r="AO595" s="6"/>
      <c r="AP595" s="6"/>
      <c r="AQ595" s="6"/>
      <c r="AR595" s="6"/>
      <c r="AS595" s="6"/>
    </row>
    <row r="596" spans="1:45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12"/>
      <c r="AK596" s="12"/>
      <c r="AL596" s="6"/>
      <c r="AM596" s="6"/>
      <c r="AN596" s="6"/>
      <c r="AO596" s="6"/>
      <c r="AP596" s="6"/>
      <c r="AQ596" s="6"/>
      <c r="AR596" s="6"/>
      <c r="AS596" s="6"/>
    </row>
    <row r="597" spans="1:45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12"/>
      <c r="AK597" s="12"/>
      <c r="AL597" s="6"/>
      <c r="AM597" s="6"/>
      <c r="AN597" s="6"/>
      <c r="AO597" s="6"/>
      <c r="AP597" s="6"/>
      <c r="AQ597" s="6"/>
      <c r="AR597" s="6"/>
      <c r="AS597" s="6"/>
    </row>
    <row r="598" spans="1:45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12"/>
      <c r="AK598" s="12"/>
      <c r="AL598" s="6"/>
      <c r="AM598" s="6"/>
      <c r="AN598" s="6"/>
      <c r="AO598" s="6"/>
      <c r="AP598" s="6"/>
      <c r="AQ598" s="6"/>
      <c r="AR598" s="6"/>
      <c r="AS598" s="6"/>
    </row>
    <row r="599" spans="1:45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12"/>
      <c r="AK599" s="12"/>
      <c r="AL599" s="6"/>
      <c r="AM599" s="6"/>
      <c r="AN599" s="6"/>
      <c r="AO599" s="6"/>
      <c r="AP599" s="6"/>
      <c r="AQ599" s="6"/>
      <c r="AR599" s="6"/>
      <c r="AS599" s="6"/>
    </row>
    <row r="600" spans="1:45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12"/>
      <c r="AK600" s="12"/>
      <c r="AL600" s="6"/>
      <c r="AM600" s="6"/>
      <c r="AN600" s="6"/>
      <c r="AO600" s="6"/>
      <c r="AP600" s="6"/>
      <c r="AQ600" s="6"/>
      <c r="AR600" s="6"/>
      <c r="AS600" s="6"/>
    </row>
    <row r="601" spans="1:45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12"/>
      <c r="AK601" s="12"/>
      <c r="AL601" s="6"/>
      <c r="AM601" s="6"/>
      <c r="AN601" s="6"/>
      <c r="AO601" s="6"/>
      <c r="AP601" s="6"/>
      <c r="AQ601" s="6"/>
      <c r="AR601" s="6"/>
      <c r="AS601" s="6"/>
    </row>
    <row r="602" spans="1:45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12"/>
      <c r="AK602" s="12"/>
      <c r="AL602" s="6"/>
      <c r="AM602" s="6"/>
      <c r="AN602" s="6"/>
      <c r="AO602" s="6"/>
      <c r="AP602" s="6"/>
      <c r="AQ602" s="6"/>
      <c r="AR602" s="6"/>
      <c r="AS602" s="6"/>
    </row>
    <row r="603" spans="1:45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12"/>
      <c r="AK603" s="12"/>
      <c r="AL603" s="6"/>
      <c r="AM603" s="6"/>
      <c r="AN603" s="6"/>
      <c r="AO603" s="6"/>
      <c r="AP603" s="6"/>
      <c r="AQ603" s="6"/>
      <c r="AR603" s="6"/>
      <c r="AS603" s="6"/>
    </row>
    <row r="604" spans="1:45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12"/>
      <c r="AK604" s="12"/>
      <c r="AL604" s="6"/>
      <c r="AM604" s="6"/>
      <c r="AN604" s="6"/>
      <c r="AO604" s="6"/>
      <c r="AP604" s="6"/>
      <c r="AQ604" s="6"/>
      <c r="AR604" s="6"/>
      <c r="AS604" s="6"/>
    </row>
    <row r="605" spans="1:4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12"/>
      <c r="AK605" s="12"/>
      <c r="AL605" s="6"/>
      <c r="AM605" s="6"/>
      <c r="AN605" s="6"/>
      <c r="AO605" s="6"/>
      <c r="AP605" s="6"/>
      <c r="AQ605" s="6"/>
      <c r="AR605" s="6"/>
      <c r="AS605" s="6"/>
    </row>
    <row r="606" spans="1:45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12"/>
      <c r="AK606" s="12"/>
      <c r="AL606" s="6"/>
      <c r="AM606" s="6"/>
      <c r="AN606" s="6"/>
      <c r="AO606" s="6"/>
      <c r="AP606" s="6"/>
      <c r="AQ606" s="6"/>
      <c r="AR606" s="6"/>
      <c r="AS606" s="6"/>
    </row>
    <row r="607" spans="1:45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12"/>
      <c r="AK607" s="12"/>
      <c r="AL607" s="6"/>
      <c r="AM607" s="6"/>
      <c r="AN607" s="6"/>
      <c r="AO607" s="6"/>
      <c r="AP607" s="6"/>
      <c r="AQ607" s="6"/>
      <c r="AR607" s="6"/>
      <c r="AS607" s="6"/>
    </row>
    <row r="608" spans="1:45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12"/>
      <c r="AK608" s="12"/>
      <c r="AL608" s="6"/>
      <c r="AM608" s="6"/>
      <c r="AN608" s="6"/>
      <c r="AO608" s="6"/>
      <c r="AP608" s="6"/>
      <c r="AQ608" s="6"/>
      <c r="AR608" s="6"/>
      <c r="AS608" s="6"/>
    </row>
    <row r="609" spans="1:45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12"/>
      <c r="AK609" s="12"/>
      <c r="AL609" s="6"/>
      <c r="AM609" s="6"/>
      <c r="AN609" s="6"/>
      <c r="AO609" s="6"/>
      <c r="AP609" s="6"/>
      <c r="AQ609" s="6"/>
      <c r="AR609" s="6"/>
      <c r="AS609" s="6"/>
    </row>
    <row r="610" spans="1:45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12"/>
      <c r="AK610" s="12"/>
      <c r="AL610" s="6"/>
      <c r="AM610" s="6"/>
      <c r="AN610" s="6"/>
      <c r="AO610" s="6"/>
      <c r="AP610" s="6"/>
      <c r="AQ610" s="6"/>
      <c r="AR610" s="6"/>
      <c r="AS610" s="6"/>
    </row>
    <row r="611" spans="1:45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12"/>
      <c r="AK611" s="12"/>
      <c r="AL611" s="6"/>
      <c r="AM611" s="6"/>
      <c r="AN611" s="6"/>
      <c r="AO611" s="6"/>
      <c r="AP611" s="6"/>
      <c r="AQ611" s="6"/>
      <c r="AR611" s="6"/>
      <c r="AS611" s="6"/>
    </row>
    <row r="612" spans="1:45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12"/>
      <c r="AK612" s="12"/>
      <c r="AL612" s="6"/>
      <c r="AM612" s="6"/>
      <c r="AN612" s="6"/>
      <c r="AO612" s="6"/>
      <c r="AP612" s="6"/>
      <c r="AQ612" s="6"/>
      <c r="AR612" s="6"/>
      <c r="AS612" s="6"/>
    </row>
    <row r="613" spans="1:45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12"/>
      <c r="AK613" s="12"/>
      <c r="AL613" s="6"/>
      <c r="AM613" s="6"/>
      <c r="AN613" s="6"/>
      <c r="AO613" s="6"/>
      <c r="AP613" s="6"/>
      <c r="AQ613" s="6"/>
      <c r="AR613" s="6"/>
      <c r="AS613" s="6"/>
    </row>
    <row r="614" spans="1:45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12"/>
      <c r="AK614" s="12"/>
      <c r="AL614" s="6"/>
      <c r="AM614" s="6"/>
      <c r="AN614" s="6"/>
      <c r="AO614" s="6"/>
      <c r="AP614" s="6"/>
      <c r="AQ614" s="6"/>
      <c r="AR614" s="6"/>
      <c r="AS614" s="6"/>
    </row>
    <row r="615" spans="1:4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12"/>
      <c r="AK615" s="12"/>
      <c r="AL615" s="6"/>
      <c r="AM615" s="6"/>
      <c r="AN615" s="6"/>
      <c r="AO615" s="6"/>
      <c r="AP615" s="6"/>
      <c r="AQ615" s="6"/>
      <c r="AR615" s="6"/>
      <c r="AS615" s="6"/>
    </row>
    <row r="616" spans="1:45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12"/>
      <c r="AK616" s="12"/>
      <c r="AL616" s="6"/>
      <c r="AM616" s="6"/>
      <c r="AN616" s="6"/>
      <c r="AO616" s="6"/>
      <c r="AP616" s="6"/>
      <c r="AQ616" s="6"/>
      <c r="AR616" s="6"/>
      <c r="AS616" s="6"/>
    </row>
    <row r="617" spans="1:45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12"/>
      <c r="AK617" s="12"/>
      <c r="AL617" s="6"/>
      <c r="AM617" s="6"/>
      <c r="AN617" s="6"/>
      <c r="AO617" s="6"/>
      <c r="AP617" s="6"/>
      <c r="AQ617" s="6"/>
      <c r="AR617" s="6"/>
      <c r="AS617" s="6"/>
    </row>
    <row r="618" spans="1:45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12"/>
      <c r="AK618" s="12"/>
      <c r="AL618" s="6"/>
      <c r="AM618" s="6"/>
      <c r="AN618" s="6"/>
      <c r="AO618" s="6"/>
      <c r="AP618" s="6"/>
      <c r="AQ618" s="6"/>
      <c r="AR618" s="6"/>
      <c r="AS618" s="6"/>
    </row>
    <row r="619" spans="1:45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12"/>
      <c r="AK619" s="12"/>
      <c r="AL619" s="6"/>
      <c r="AM619" s="6"/>
      <c r="AN619" s="6"/>
      <c r="AO619" s="6"/>
      <c r="AP619" s="6"/>
      <c r="AQ619" s="6"/>
      <c r="AR619" s="6"/>
      <c r="AS619" s="6"/>
    </row>
    <row r="620" spans="1:45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12"/>
      <c r="AK620" s="12"/>
      <c r="AL620" s="6"/>
      <c r="AM620" s="6"/>
      <c r="AN620" s="6"/>
      <c r="AO620" s="6"/>
      <c r="AP620" s="6"/>
      <c r="AQ620" s="6"/>
      <c r="AR620" s="6"/>
      <c r="AS620" s="6"/>
    </row>
    <row r="621" spans="1:45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12"/>
      <c r="AK621" s="12"/>
      <c r="AL621" s="6"/>
      <c r="AM621" s="6"/>
      <c r="AN621" s="6"/>
      <c r="AO621" s="6"/>
      <c r="AP621" s="6"/>
      <c r="AQ621" s="6"/>
      <c r="AR621" s="6"/>
      <c r="AS621" s="6"/>
    </row>
    <row r="622" spans="1:45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12"/>
      <c r="AK622" s="12"/>
      <c r="AL622" s="6"/>
      <c r="AM622" s="6"/>
      <c r="AN622" s="6"/>
      <c r="AO622" s="6"/>
      <c r="AP622" s="6"/>
      <c r="AQ622" s="6"/>
      <c r="AR622" s="6"/>
      <c r="AS622" s="6"/>
    </row>
    <row r="623" spans="1:45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12"/>
      <c r="AK623" s="12"/>
      <c r="AL623" s="6"/>
      <c r="AM623" s="6"/>
      <c r="AN623" s="6"/>
      <c r="AO623" s="6"/>
      <c r="AP623" s="6"/>
      <c r="AQ623" s="6"/>
      <c r="AR623" s="6"/>
      <c r="AS623" s="6"/>
    </row>
    <row r="624" spans="1:45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12"/>
      <c r="AK624" s="12"/>
      <c r="AL624" s="6"/>
      <c r="AM624" s="6"/>
      <c r="AN624" s="6"/>
      <c r="AO624" s="6"/>
      <c r="AP624" s="6"/>
      <c r="AQ624" s="6"/>
      <c r="AR624" s="6"/>
      <c r="AS624" s="6"/>
    </row>
    <row r="625" spans="1:4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12"/>
      <c r="AK625" s="12"/>
      <c r="AL625" s="6"/>
      <c r="AM625" s="6"/>
      <c r="AN625" s="6"/>
      <c r="AO625" s="6"/>
      <c r="AP625" s="6"/>
      <c r="AQ625" s="6"/>
      <c r="AR625" s="6"/>
      <c r="AS625" s="6"/>
    </row>
    <row r="626" spans="1:45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12"/>
      <c r="AK626" s="12"/>
      <c r="AL626" s="6"/>
      <c r="AM626" s="6"/>
      <c r="AN626" s="6"/>
      <c r="AO626" s="6"/>
      <c r="AP626" s="6"/>
      <c r="AQ626" s="6"/>
      <c r="AR626" s="6"/>
      <c r="AS626" s="6"/>
    </row>
    <row r="627" spans="1:45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12"/>
      <c r="AK627" s="12"/>
      <c r="AL627" s="6"/>
      <c r="AM627" s="6"/>
      <c r="AN627" s="6"/>
      <c r="AO627" s="6"/>
      <c r="AP627" s="6"/>
      <c r="AQ627" s="6"/>
      <c r="AR627" s="6"/>
      <c r="AS627" s="6"/>
    </row>
    <row r="628" spans="1:45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12"/>
      <c r="AK628" s="12"/>
      <c r="AL628" s="6"/>
      <c r="AM628" s="6"/>
      <c r="AN628" s="6"/>
      <c r="AO628" s="6"/>
      <c r="AP628" s="6"/>
      <c r="AQ628" s="6"/>
      <c r="AR628" s="6"/>
      <c r="AS628" s="6"/>
    </row>
    <row r="629" spans="1:45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2"/>
      <c r="AK629" s="12"/>
      <c r="AL629" s="6"/>
      <c r="AM629" s="6"/>
      <c r="AN629" s="6"/>
      <c r="AO629" s="6"/>
      <c r="AP629" s="6"/>
      <c r="AQ629" s="6"/>
      <c r="AR629" s="6"/>
      <c r="AS629" s="6"/>
    </row>
    <row r="630" spans="1:45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12"/>
      <c r="AK630" s="12"/>
      <c r="AL630" s="6"/>
      <c r="AM630" s="6"/>
      <c r="AN630" s="6"/>
      <c r="AO630" s="6"/>
      <c r="AP630" s="6"/>
      <c r="AQ630" s="6"/>
      <c r="AR630" s="6"/>
      <c r="AS630" s="6"/>
    </row>
    <row r="631" spans="1:45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12"/>
      <c r="AK631" s="12"/>
      <c r="AL631" s="6"/>
      <c r="AM631" s="6"/>
      <c r="AN631" s="6"/>
      <c r="AO631" s="6"/>
      <c r="AP631" s="6"/>
      <c r="AQ631" s="6"/>
      <c r="AR631" s="6"/>
      <c r="AS631" s="6"/>
    </row>
    <row r="632" spans="1:45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12"/>
      <c r="AK632" s="12"/>
      <c r="AL632" s="6"/>
      <c r="AM632" s="6"/>
      <c r="AN632" s="6"/>
      <c r="AO632" s="6"/>
      <c r="AP632" s="6"/>
      <c r="AQ632" s="6"/>
      <c r="AR632" s="6"/>
      <c r="AS632" s="6"/>
    </row>
    <row r="633" spans="1:45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12"/>
      <c r="AK633" s="12"/>
      <c r="AL633" s="6"/>
      <c r="AM633" s="6"/>
      <c r="AN633" s="6"/>
      <c r="AO633" s="6"/>
      <c r="AP633" s="6"/>
      <c r="AQ633" s="6"/>
      <c r="AR633" s="6"/>
      <c r="AS633" s="6"/>
    </row>
    <row r="634" spans="1:45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12"/>
      <c r="AK634" s="12"/>
      <c r="AL634" s="6"/>
      <c r="AM634" s="6"/>
      <c r="AN634" s="6"/>
      <c r="AO634" s="6"/>
      <c r="AP634" s="6"/>
      <c r="AQ634" s="6"/>
      <c r="AR634" s="6"/>
      <c r="AS634" s="6"/>
    </row>
    <row r="635" spans="1:4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12"/>
      <c r="AK635" s="12"/>
      <c r="AL635" s="6"/>
      <c r="AM635" s="6"/>
      <c r="AN635" s="6"/>
      <c r="AO635" s="6"/>
      <c r="AP635" s="6"/>
      <c r="AQ635" s="6"/>
      <c r="AR635" s="6"/>
      <c r="AS635" s="6"/>
    </row>
    <row r="636" spans="1:45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12"/>
      <c r="AK636" s="12"/>
      <c r="AL636" s="6"/>
      <c r="AM636" s="6"/>
      <c r="AN636" s="6"/>
      <c r="AO636" s="6"/>
      <c r="AP636" s="6"/>
      <c r="AQ636" s="6"/>
      <c r="AR636" s="6"/>
      <c r="AS636" s="6"/>
    </row>
    <row r="637" spans="1:45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12"/>
      <c r="AK637" s="12"/>
      <c r="AL637" s="6"/>
      <c r="AM637" s="6"/>
      <c r="AN637" s="6"/>
      <c r="AO637" s="6"/>
      <c r="AP637" s="6"/>
      <c r="AQ637" s="6"/>
      <c r="AR637" s="6"/>
      <c r="AS637" s="6"/>
    </row>
    <row r="638" spans="1:45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12"/>
      <c r="AK638" s="12"/>
      <c r="AL638" s="6"/>
      <c r="AM638" s="6"/>
      <c r="AN638" s="6"/>
      <c r="AO638" s="6"/>
      <c r="AP638" s="6"/>
      <c r="AQ638" s="6"/>
      <c r="AR638" s="6"/>
      <c r="AS638" s="6"/>
    </row>
    <row r="639" spans="1:45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12"/>
      <c r="AK639" s="12"/>
      <c r="AL639" s="6"/>
      <c r="AM639" s="6"/>
      <c r="AN639" s="6"/>
      <c r="AO639" s="6"/>
      <c r="AP639" s="6"/>
      <c r="AQ639" s="6"/>
      <c r="AR639" s="6"/>
      <c r="AS639" s="6"/>
    </row>
    <row r="640" spans="1:45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12"/>
      <c r="AK640" s="12"/>
      <c r="AL640" s="6"/>
      <c r="AM640" s="6"/>
      <c r="AN640" s="6"/>
      <c r="AO640" s="6"/>
      <c r="AP640" s="6"/>
      <c r="AQ640" s="6"/>
      <c r="AR640" s="6"/>
      <c r="AS640" s="6"/>
    </row>
    <row r="641" spans="1:45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12"/>
      <c r="AK641" s="12"/>
      <c r="AL641" s="6"/>
      <c r="AM641" s="6"/>
      <c r="AN641" s="6"/>
      <c r="AO641" s="6"/>
      <c r="AP641" s="6"/>
      <c r="AQ641" s="6"/>
      <c r="AR641" s="6"/>
      <c r="AS641" s="6"/>
    </row>
    <row r="642" spans="1:45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12"/>
      <c r="AK642" s="12"/>
      <c r="AL642" s="6"/>
      <c r="AM642" s="6"/>
      <c r="AN642" s="6"/>
      <c r="AO642" s="6"/>
      <c r="AP642" s="6"/>
      <c r="AQ642" s="6"/>
      <c r="AR642" s="6"/>
      <c r="AS642" s="6"/>
    </row>
    <row r="643" spans="1:45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12"/>
      <c r="AK643" s="12"/>
      <c r="AL643" s="6"/>
      <c r="AM643" s="6"/>
      <c r="AN643" s="6"/>
      <c r="AO643" s="6"/>
      <c r="AP643" s="6"/>
      <c r="AQ643" s="6"/>
      <c r="AR643" s="6"/>
      <c r="AS643" s="6"/>
    </row>
    <row r="644" spans="1:45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12"/>
      <c r="AK644" s="12"/>
      <c r="AL644" s="6"/>
      <c r="AM644" s="6"/>
      <c r="AN644" s="6"/>
      <c r="AO644" s="6"/>
      <c r="AP644" s="6"/>
      <c r="AQ644" s="6"/>
      <c r="AR644" s="6"/>
      <c r="AS644" s="6"/>
    </row>
    <row r="645" spans="1: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12"/>
      <c r="AK645" s="12"/>
      <c r="AL645" s="6"/>
      <c r="AM645" s="6"/>
      <c r="AN645" s="6"/>
      <c r="AO645" s="6"/>
      <c r="AP645" s="6"/>
      <c r="AQ645" s="6"/>
      <c r="AR645" s="6"/>
      <c r="AS645" s="6"/>
    </row>
    <row r="646" spans="1:45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12"/>
      <c r="AK646" s="12"/>
      <c r="AL646" s="6"/>
      <c r="AM646" s="6"/>
      <c r="AN646" s="6"/>
      <c r="AO646" s="6"/>
      <c r="AP646" s="6"/>
      <c r="AQ646" s="6"/>
      <c r="AR646" s="6"/>
      <c r="AS646" s="6"/>
    </row>
    <row r="647" spans="1:45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12"/>
      <c r="AK647" s="12"/>
      <c r="AL647" s="6"/>
      <c r="AM647" s="6"/>
      <c r="AN647" s="6"/>
      <c r="AO647" s="6"/>
      <c r="AP647" s="6"/>
      <c r="AQ647" s="6"/>
      <c r="AR647" s="6"/>
      <c r="AS647" s="6"/>
    </row>
    <row r="648" spans="1:45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12"/>
      <c r="AK648" s="12"/>
      <c r="AL648" s="6"/>
      <c r="AM648" s="6"/>
      <c r="AN648" s="6"/>
      <c r="AO648" s="6"/>
      <c r="AP648" s="6"/>
      <c r="AQ648" s="6"/>
      <c r="AR648" s="6"/>
      <c r="AS648" s="6"/>
    </row>
    <row r="649" spans="1:45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12"/>
      <c r="AK649" s="12"/>
      <c r="AL649" s="6"/>
      <c r="AM649" s="6"/>
      <c r="AN649" s="6"/>
      <c r="AO649" s="6"/>
      <c r="AP649" s="6"/>
      <c r="AQ649" s="6"/>
      <c r="AR649" s="6"/>
      <c r="AS649" s="6"/>
    </row>
    <row r="650" spans="1:45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12"/>
      <c r="AK650" s="12"/>
      <c r="AL650" s="6"/>
      <c r="AM650" s="6"/>
      <c r="AN650" s="6"/>
      <c r="AO650" s="6"/>
      <c r="AP650" s="6"/>
      <c r="AQ650" s="6"/>
      <c r="AR650" s="6"/>
      <c r="AS650" s="6"/>
    </row>
    <row r="651" spans="1:45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12"/>
      <c r="AK651" s="12"/>
      <c r="AL651" s="6"/>
      <c r="AM651" s="6"/>
      <c r="AN651" s="6"/>
      <c r="AO651" s="6"/>
      <c r="AP651" s="6"/>
      <c r="AQ651" s="6"/>
      <c r="AR651" s="6"/>
      <c r="AS651" s="6"/>
    </row>
    <row r="652" spans="1:45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12"/>
      <c r="AK652" s="12"/>
      <c r="AL652" s="6"/>
      <c r="AM652" s="6"/>
      <c r="AN652" s="6"/>
      <c r="AO652" s="6"/>
      <c r="AP652" s="6"/>
      <c r="AQ652" s="6"/>
      <c r="AR652" s="6"/>
      <c r="AS652" s="6"/>
    </row>
    <row r="653" spans="1:45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12"/>
      <c r="AK653" s="12"/>
      <c r="AL653" s="6"/>
      <c r="AM653" s="6"/>
      <c r="AN653" s="6"/>
      <c r="AO653" s="6"/>
      <c r="AP653" s="6"/>
      <c r="AQ653" s="6"/>
      <c r="AR653" s="6"/>
      <c r="AS653" s="6"/>
    </row>
    <row r="654" spans="1:45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12"/>
      <c r="AK654" s="12"/>
      <c r="AL654" s="6"/>
      <c r="AM654" s="6"/>
      <c r="AN654" s="6"/>
      <c r="AO654" s="6"/>
      <c r="AP654" s="6"/>
      <c r="AQ654" s="6"/>
      <c r="AR654" s="6"/>
      <c r="AS654" s="6"/>
    </row>
    <row r="655" spans="1:4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12"/>
      <c r="AK655" s="12"/>
      <c r="AL655" s="6"/>
      <c r="AM655" s="6"/>
      <c r="AN655" s="6"/>
      <c r="AO655" s="6"/>
      <c r="AP655" s="6"/>
      <c r="AQ655" s="6"/>
      <c r="AR655" s="6"/>
      <c r="AS655" s="6"/>
    </row>
    <row r="656" spans="1:45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12"/>
      <c r="AK656" s="12"/>
      <c r="AL656" s="6"/>
      <c r="AM656" s="6"/>
      <c r="AN656" s="6"/>
      <c r="AO656" s="6"/>
      <c r="AP656" s="6"/>
      <c r="AQ656" s="6"/>
      <c r="AR656" s="6"/>
      <c r="AS656" s="6"/>
    </row>
    <row r="657" spans="1:45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12"/>
      <c r="AK657" s="12"/>
      <c r="AL657" s="6"/>
      <c r="AM657" s="6"/>
      <c r="AN657" s="6"/>
      <c r="AO657" s="6"/>
      <c r="AP657" s="6"/>
      <c r="AQ657" s="6"/>
      <c r="AR657" s="6"/>
      <c r="AS657" s="6"/>
    </row>
    <row r="658" spans="1:45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12"/>
      <c r="AK658" s="12"/>
      <c r="AL658" s="6"/>
      <c r="AM658" s="6"/>
      <c r="AN658" s="6"/>
      <c r="AO658" s="6"/>
      <c r="AP658" s="6"/>
      <c r="AQ658" s="6"/>
      <c r="AR658" s="6"/>
      <c r="AS658" s="6"/>
    </row>
    <row r="659" spans="1:45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12"/>
      <c r="AK659" s="12"/>
      <c r="AL659" s="6"/>
      <c r="AM659" s="6"/>
      <c r="AN659" s="6"/>
      <c r="AO659" s="6"/>
      <c r="AP659" s="6"/>
      <c r="AQ659" s="6"/>
      <c r="AR659" s="6"/>
      <c r="AS659" s="6"/>
    </row>
    <row r="660" spans="1:45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12"/>
      <c r="AK660" s="12"/>
      <c r="AL660" s="6"/>
      <c r="AM660" s="6"/>
      <c r="AN660" s="6"/>
      <c r="AO660" s="6"/>
      <c r="AP660" s="6"/>
      <c r="AQ660" s="6"/>
      <c r="AR660" s="6"/>
      <c r="AS660" s="6"/>
    </row>
    <row r="661" spans="1:45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12"/>
      <c r="AK661" s="12"/>
      <c r="AL661" s="6"/>
      <c r="AM661" s="6"/>
      <c r="AN661" s="6"/>
      <c r="AO661" s="6"/>
      <c r="AP661" s="6"/>
      <c r="AQ661" s="6"/>
      <c r="AR661" s="6"/>
      <c r="AS661" s="6"/>
    </row>
    <row r="662" spans="1:45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12"/>
      <c r="AK662" s="12"/>
      <c r="AL662" s="6"/>
      <c r="AM662" s="6"/>
      <c r="AN662" s="6"/>
      <c r="AO662" s="6"/>
      <c r="AP662" s="6"/>
      <c r="AQ662" s="6"/>
      <c r="AR662" s="6"/>
      <c r="AS662" s="6"/>
    </row>
    <row r="663" spans="1:45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12"/>
      <c r="AK663" s="12"/>
      <c r="AL663" s="6"/>
      <c r="AM663" s="6"/>
      <c r="AN663" s="6"/>
      <c r="AO663" s="6"/>
      <c r="AP663" s="6"/>
      <c r="AQ663" s="6"/>
      <c r="AR663" s="6"/>
      <c r="AS663" s="6"/>
    </row>
    <row r="664" spans="1:45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12"/>
      <c r="AK664" s="12"/>
      <c r="AL664" s="6"/>
      <c r="AM664" s="6"/>
      <c r="AN664" s="6"/>
      <c r="AO664" s="6"/>
      <c r="AP664" s="6"/>
      <c r="AQ664" s="6"/>
      <c r="AR664" s="6"/>
      <c r="AS664" s="6"/>
    </row>
    <row r="665" spans="1:4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12"/>
      <c r="AK665" s="12"/>
      <c r="AL665" s="6"/>
      <c r="AM665" s="6"/>
      <c r="AN665" s="6"/>
      <c r="AO665" s="6"/>
      <c r="AP665" s="6"/>
      <c r="AQ665" s="6"/>
      <c r="AR665" s="6"/>
      <c r="AS665" s="6"/>
    </row>
    <row r="666" spans="1:45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12"/>
      <c r="AK666" s="12"/>
      <c r="AL666" s="6"/>
      <c r="AM666" s="6"/>
      <c r="AN666" s="6"/>
      <c r="AO666" s="6"/>
      <c r="AP666" s="6"/>
      <c r="AQ666" s="6"/>
      <c r="AR666" s="6"/>
      <c r="AS666" s="6"/>
    </row>
    <row r="667" spans="1:45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12"/>
      <c r="AK667" s="12"/>
      <c r="AL667" s="6"/>
      <c r="AM667" s="6"/>
      <c r="AN667" s="6"/>
      <c r="AO667" s="6"/>
      <c r="AP667" s="6"/>
      <c r="AQ667" s="6"/>
      <c r="AR667" s="6"/>
      <c r="AS667" s="6"/>
    </row>
    <row r="668" spans="1:45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12"/>
      <c r="AK668" s="12"/>
      <c r="AL668" s="6"/>
      <c r="AM668" s="6"/>
      <c r="AN668" s="6"/>
      <c r="AO668" s="6"/>
      <c r="AP668" s="6"/>
      <c r="AQ668" s="6"/>
      <c r="AR668" s="6"/>
      <c r="AS668" s="6"/>
    </row>
    <row r="669" spans="1:45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12"/>
      <c r="AK669" s="12"/>
      <c r="AL669" s="6"/>
      <c r="AM669" s="6"/>
      <c r="AN669" s="6"/>
      <c r="AO669" s="6"/>
      <c r="AP669" s="6"/>
      <c r="AQ669" s="6"/>
      <c r="AR669" s="6"/>
      <c r="AS669" s="6"/>
    </row>
    <row r="670" spans="1:45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12"/>
      <c r="AK670" s="12"/>
      <c r="AL670" s="6"/>
      <c r="AM670" s="6"/>
      <c r="AN670" s="6"/>
      <c r="AO670" s="6"/>
      <c r="AP670" s="6"/>
      <c r="AQ670" s="6"/>
      <c r="AR670" s="6"/>
      <c r="AS670" s="6"/>
    </row>
    <row r="671" spans="1:45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12"/>
      <c r="AK671" s="12"/>
      <c r="AL671" s="6"/>
      <c r="AM671" s="6"/>
      <c r="AN671" s="6"/>
      <c r="AO671" s="6"/>
      <c r="AP671" s="6"/>
      <c r="AQ671" s="6"/>
      <c r="AR671" s="6"/>
      <c r="AS671" s="6"/>
    </row>
    <row r="672" spans="1:45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12"/>
      <c r="AK672" s="12"/>
      <c r="AL672" s="6"/>
      <c r="AM672" s="6"/>
      <c r="AN672" s="6"/>
      <c r="AO672" s="6"/>
      <c r="AP672" s="6"/>
      <c r="AQ672" s="6"/>
      <c r="AR672" s="6"/>
      <c r="AS672" s="6"/>
    </row>
    <row r="673" spans="1:45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12"/>
      <c r="AK673" s="12"/>
      <c r="AL673" s="6"/>
      <c r="AM673" s="6"/>
      <c r="AN673" s="6"/>
      <c r="AO673" s="6"/>
      <c r="AP673" s="6"/>
      <c r="AQ673" s="6"/>
      <c r="AR673" s="6"/>
      <c r="AS673" s="6"/>
    </row>
    <row r="674" spans="1:45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12"/>
      <c r="AK674" s="12"/>
      <c r="AL674" s="6"/>
      <c r="AM674" s="6"/>
      <c r="AN674" s="6"/>
      <c r="AO674" s="6"/>
      <c r="AP674" s="6"/>
      <c r="AQ674" s="6"/>
      <c r="AR674" s="6"/>
      <c r="AS674" s="6"/>
    </row>
    <row r="675" spans="1:4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12"/>
      <c r="AK675" s="12"/>
      <c r="AL675" s="6"/>
      <c r="AM675" s="6"/>
      <c r="AN675" s="6"/>
      <c r="AO675" s="6"/>
      <c r="AP675" s="6"/>
      <c r="AQ675" s="6"/>
      <c r="AR675" s="6"/>
      <c r="AS675" s="6"/>
    </row>
    <row r="676" spans="1:45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12"/>
      <c r="AK676" s="12"/>
      <c r="AL676" s="6"/>
      <c r="AM676" s="6"/>
      <c r="AN676" s="6"/>
      <c r="AO676" s="6"/>
      <c r="AP676" s="6"/>
      <c r="AQ676" s="6"/>
      <c r="AR676" s="6"/>
      <c r="AS676" s="6"/>
    </row>
    <row r="677" spans="1:45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12"/>
      <c r="AK677" s="12"/>
      <c r="AL677" s="6"/>
      <c r="AM677" s="6"/>
      <c r="AN677" s="6"/>
      <c r="AO677" s="6"/>
      <c r="AP677" s="6"/>
      <c r="AQ677" s="6"/>
      <c r="AR677" s="6"/>
      <c r="AS677" s="6"/>
    </row>
    <row r="678" spans="1:45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12"/>
      <c r="AK678" s="12"/>
      <c r="AL678" s="6"/>
      <c r="AM678" s="6"/>
      <c r="AN678" s="6"/>
      <c r="AO678" s="6"/>
      <c r="AP678" s="6"/>
      <c r="AQ678" s="6"/>
      <c r="AR678" s="6"/>
      <c r="AS678" s="6"/>
    </row>
    <row r="679" spans="1:45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12"/>
      <c r="AK679" s="12"/>
      <c r="AL679" s="6"/>
      <c r="AM679" s="6"/>
      <c r="AN679" s="6"/>
      <c r="AO679" s="6"/>
      <c r="AP679" s="6"/>
      <c r="AQ679" s="6"/>
      <c r="AR679" s="6"/>
      <c r="AS679" s="6"/>
    </row>
    <row r="680" spans="1:45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12"/>
      <c r="AK680" s="12"/>
      <c r="AL680" s="6"/>
      <c r="AM680" s="6"/>
      <c r="AN680" s="6"/>
      <c r="AO680" s="6"/>
      <c r="AP680" s="6"/>
      <c r="AQ680" s="6"/>
      <c r="AR680" s="6"/>
      <c r="AS680" s="6"/>
    </row>
    <row r="681" spans="1:45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12"/>
      <c r="AK681" s="12"/>
      <c r="AL681" s="6"/>
      <c r="AM681" s="6"/>
      <c r="AN681" s="6"/>
      <c r="AO681" s="6"/>
      <c r="AP681" s="6"/>
      <c r="AQ681" s="6"/>
      <c r="AR681" s="6"/>
      <c r="AS681" s="6"/>
    </row>
    <row r="682" spans="1:45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12"/>
      <c r="AK682" s="12"/>
      <c r="AL682" s="6"/>
      <c r="AM682" s="6"/>
      <c r="AN682" s="6"/>
      <c r="AO682" s="6"/>
      <c r="AP682" s="6"/>
      <c r="AQ682" s="6"/>
      <c r="AR682" s="6"/>
      <c r="AS682" s="6"/>
    </row>
    <row r="683" spans="1:45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12"/>
      <c r="AK683" s="12"/>
      <c r="AL683" s="6"/>
      <c r="AM683" s="6"/>
      <c r="AN683" s="6"/>
      <c r="AO683" s="6"/>
      <c r="AP683" s="6"/>
      <c r="AQ683" s="6"/>
      <c r="AR683" s="6"/>
      <c r="AS683" s="6"/>
    </row>
    <row r="684" spans="1:45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12"/>
      <c r="AK684" s="12"/>
      <c r="AL684" s="6"/>
      <c r="AM684" s="6"/>
      <c r="AN684" s="6"/>
      <c r="AO684" s="6"/>
      <c r="AP684" s="6"/>
      <c r="AQ684" s="6"/>
      <c r="AR684" s="6"/>
      <c r="AS684" s="6"/>
    </row>
    <row r="685" spans="1:4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12"/>
      <c r="AK685" s="12"/>
      <c r="AL685" s="6"/>
      <c r="AM685" s="6"/>
      <c r="AN685" s="6"/>
      <c r="AO685" s="6"/>
      <c r="AP685" s="6"/>
      <c r="AQ685" s="6"/>
      <c r="AR685" s="6"/>
      <c r="AS685" s="6"/>
    </row>
    <row r="686" spans="1:45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12"/>
      <c r="AK686" s="12"/>
      <c r="AL686" s="6"/>
      <c r="AM686" s="6"/>
      <c r="AN686" s="6"/>
      <c r="AO686" s="6"/>
      <c r="AP686" s="6"/>
      <c r="AQ686" s="6"/>
      <c r="AR686" s="6"/>
      <c r="AS686" s="6"/>
    </row>
    <row r="687" spans="1:45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12"/>
      <c r="AK687" s="12"/>
      <c r="AL687" s="6"/>
      <c r="AM687" s="6"/>
      <c r="AN687" s="6"/>
      <c r="AO687" s="6"/>
      <c r="AP687" s="6"/>
      <c r="AQ687" s="6"/>
      <c r="AR687" s="6"/>
      <c r="AS687" s="6"/>
    </row>
    <row r="688" spans="1:45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12"/>
      <c r="AK688" s="12"/>
      <c r="AL688" s="6"/>
      <c r="AM688" s="6"/>
      <c r="AN688" s="6"/>
      <c r="AO688" s="6"/>
      <c r="AP688" s="6"/>
      <c r="AQ688" s="6"/>
      <c r="AR688" s="6"/>
      <c r="AS688" s="6"/>
    </row>
    <row r="689" spans="1:45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12"/>
      <c r="AK689" s="12"/>
      <c r="AL689" s="6"/>
      <c r="AM689" s="6"/>
      <c r="AN689" s="6"/>
      <c r="AO689" s="6"/>
      <c r="AP689" s="6"/>
      <c r="AQ689" s="6"/>
      <c r="AR689" s="6"/>
      <c r="AS689" s="6"/>
    </row>
    <row r="690" spans="1:45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12"/>
      <c r="AK690" s="12"/>
      <c r="AL690" s="6"/>
      <c r="AM690" s="6"/>
      <c r="AN690" s="6"/>
      <c r="AO690" s="6"/>
      <c r="AP690" s="6"/>
      <c r="AQ690" s="6"/>
      <c r="AR690" s="6"/>
      <c r="AS690" s="6"/>
    </row>
    <row r="691" spans="1:45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12"/>
      <c r="AK691" s="12"/>
      <c r="AL691" s="6"/>
      <c r="AM691" s="6"/>
      <c r="AN691" s="6"/>
      <c r="AO691" s="6"/>
      <c r="AP691" s="6"/>
      <c r="AQ691" s="6"/>
      <c r="AR691" s="6"/>
      <c r="AS691" s="6"/>
    </row>
    <row r="692" spans="1:45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12"/>
      <c r="AK692" s="12"/>
      <c r="AL692" s="6"/>
      <c r="AM692" s="6"/>
      <c r="AN692" s="6"/>
      <c r="AO692" s="6"/>
      <c r="AP692" s="6"/>
      <c r="AQ692" s="6"/>
      <c r="AR692" s="6"/>
      <c r="AS692" s="6"/>
    </row>
    <row r="693" spans="1:45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12"/>
      <c r="AK693" s="12"/>
      <c r="AL693" s="6"/>
      <c r="AM693" s="6"/>
      <c r="AN693" s="6"/>
      <c r="AO693" s="6"/>
      <c r="AP693" s="6"/>
      <c r="AQ693" s="6"/>
      <c r="AR693" s="6"/>
      <c r="AS693" s="6"/>
    </row>
    <row r="694" spans="1:45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12"/>
      <c r="AK694" s="12"/>
      <c r="AL694" s="6"/>
      <c r="AM694" s="6"/>
      <c r="AN694" s="6"/>
      <c r="AO694" s="6"/>
      <c r="AP694" s="6"/>
      <c r="AQ694" s="6"/>
      <c r="AR694" s="6"/>
      <c r="AS694" s="6"/>
    </row>
    <row r="695" spans="1:4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12"/>
      <c r="AK695" s="12"/>
      <c r="AL695" s="6"/>
      <c r="AM695" s="6"/>
      <c r="AN695" s="6"/>
      <c r="AO695" s="6"/>
      <c r="AP695" s="6"/>
      <c r="AQ695" s="6"/>
      <c r="AR695" s="6"/>
      <c r="AS695" s="6"/>
    </row>
    <row r="696" spans="1:45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12"/>
      <c r="AK696" s="12"/>
      <c r="AL696" s="6"/>
      <c r="AM696" s="6"/>
      <c r="AN696" s="6"/>
      <c r="AO696" s="6"/>
      <c r="AP696" s="6"/>
      <c r="AQ696" s="6"/>
      <c r="AR696" s="6"/>
      <c r="AS696" s="6"/>
    </row>
    <row r="697" spans="1:45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12"/>
      <c r="AK697" s="12"/>
      <c r="AL697" s="6"/>
      <c r="AM697" s="6"/>
      <c r="AN697" s="6"/>
      <c r="AO697" s="6"/>
      <c r="AP697" s="6"/>
      <c r="AQ697" s="6"/>
      <c r="AR697" s="6"/>
      <c r="AS697" s="6"/>
    </row>
    <row r="698" spans="1:45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12"/>
      <c r="AK698" s="12"/>
      <c r="AL698" s="6"/>
      <c r="AM698" s="6"/>
      <c r="AN698" s="6"/>
      <c r="AO698" s="6"/>
      <c r="AP698" s="6"/>
      <c r="AQ698" s="6"/>
      <c r="AR698" s="6"/>
      <c r="AS698" s="6"/>
    </row>
    <row r="699" spans="1:45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12"/>
      <c r="AK699" s="12"/>
      <c r="AL699" s="6"/>
      <c r="AM699" s="6"/>
      <c r="AN699" s="6"/>
      <c r="AO699" s="6"/>
      <c r="AP699" s="6"/>
      <c r="AQ699" s="6"/>
      <c r="AR699" s="6"/>
      <c r="AS699" s="6"/>
    </row>
    <row r="700" spans="1:45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12"/>
      <c r="AK700" s="12"/>
      <c r="AL700" s="6"/>
      <c r="AM700" s="6"/>
      <c r="AN700" s="6"/>
      <c r="AO700" s="6"/>
      <c r="AP700" s="6"/>
      <c r="AQ700" s="6"/>
      <c r="AR700" s="6"/>
      <c r="AS700" s="6"/>
    </row>
    <row r="701" spans="1:45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12"/>
      <c r="AK701" s="12"/>
      <c r="AL701" s="6"/>
      <c r="AM701" s="6"/>
      <c r="AN701" s="6"/>
      <c r="AO701" s="6"/>
      <c r="AP701" s="6"/>
      <c r="AQ701" s="6"/>
      <c r="AR701" s="6"/>
      <c r="AS701" s="6"/>
    </row>
    <row r="702" spans="1:45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12"/>
      <c r="AK702" s="12"/>
      <c r="AL702" s="6"/>
      <c r="AM702" s="6"/>
      <c r="AN702" s="6"/>
      <c r="AO702" s="6"/>
      <c r="AP702" s="6"/>
      <c r="AQ702" s="6"/>
      <c r="AR702" s="6"/>
      <c r="AS702" s="6"/>
    </row>
    <row r="703" spans="1:45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12"/>
      <c r="AK703" s="12"/>
      <c r="AL703" s="6"/>
      <c r="AM703" s="6"/>
      <c r="AN703" s="6"/>
      <c r="AO703" s="6"/>
      <c r="AP703" s="6"/>
      <c r="AQ703" s="6"/>
      <c r="AR703" s="6"/>
      <c r="AS703" s="6"/>
    </row>
    <row r="704" spans="1:45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12"/>
      <c r="AK704" s="12"/>
      <c r="AL704" s="6"/>
      <c r="AM704" s="6"/>
      <c r="AN704" s="6"/>
      <c r="AO704" s="6"/>
      <c r="AP704" s="6"/>
      <c r="AQ704" s="6"/>
      <c r="AR704" s="6"/>
      <c r="AS704" s="6"/>
    </row>
    <row r="705" spans="1:4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12"/>
      <c r="AK705" s="12"/>
      <c r="AL705" s="6"/>
      <c r="AM705" s="6"/>
      <c r="AN705" s="6"/>
      <c r="AO705" s="6"/>
      <c r="AP705" s="6"/>
      <c r="AQ705" s="6"/>
      <c r="AR705" s="6"/>
      <c r="AS705" s="6"/>
    </row>
    <row r="706" spans="1:45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12"/>
      <c r="AK706" s="12"/>
      <c r="AL706" s="6"/>
      <c r="AM706" s="6"/>
      <c r="AN706" s="6"/>
      <c r="AO706" s="6"/>
      <c r="AP706" s="6"/>
      <c r="AQ706" s="6"/>
      <c r="AR706" s="6"/>
      <c r="AS706" s="6"/>
    </row>
    <row r="707" spans="1:45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12"/>
      <c r="AK707" s="12"/>
      <c r="AL707" s="6"/>
      <c r="AM707" s="6"/>
      <c r="AN707" s="6"/>
      <c r="AO707" s="6"/>
      <c r="AP707" s="6"/>
      <c r="AQ707" s="6"/>
      <c r="AR707" s="6"/>
      <c r="AS707" s="6"/>
    </row>
    <row r="708" spans="1:45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12"/>
      <c r="AK708" s="12"/>
      <c r="AL708" s="6"/>
      <c r="AM708" s="6"/>
      <c r="AN708" s="6"/>
      <c r="AO708" s="6"/>
      <c r="AP708" s="6"/>
      <c r="AQ708" s="6"/>
      <c r="AR708" s="6"/>
      <c r="AS708" s="6"/>
    </row>
    <row r="709" spans="1:45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12"/>
      <c r="AK709" s="12"/>
      <c r="AL709" s="6"/>
      <c r="AM709" s="6"/>
      <c r="AN709" s="6"/>
      <c r="AO709" s="6"/>
      <c r="AP709" s="6"/>
      <c r="AQ709" s="6"/>
      <c r="AR709" s="6"/>
      <c r="AS709" s="6"/>
    </row>
    <row r="710" spans="1:45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12"/>
      <c r="AK710" s="12"/>
      <c r="AL710" s="6"/>
      <c r="AM710" s="6"/>
      <c r="AN710" s="6"/>
      <c r="AO710" s="6"/>
      <c r="AP710" s="6"/>
      <c r="AQ710" s="6"/>
      <c r="AR710" s="6"/>
      <c r="AS710" s="6"/>
    </row>
    <row r="711" spans="1:45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12"/>
      <c r="AK711" s="12"/>
      <c r="AL711" s="6"/>
      <c r="AM711" s="6"/>
      <c r="AN711" s="6"/>
      <c r="AO711" s="6"/>
      <c r="AP711" s="6"/>
      <c r="AQ711" s="6"/>
      <c r="AR711" s="6"/>
      <c r="AS711" s="6"/>
    </row>
    <row r="712" spans="1:45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12"/>
      <c r="AK712" s="12"/>
      <c r="AL712" s="6"/>
      <c r="AM712" s="6"/>
      <c r="AN712" s="6"/>
      <c r="AO712" s="6"/>
      <c r="AP712" s="6"/>
      <c r="AQ712" s="6"/>
      <c r="AR712" s="6"/>
      <c r="AS712" s="6"/>
    </row>
    <row r="713" spans="1:45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12"/>
      <c r="AK713" s="12"/>
      <c r="AL713" s="6"/>
      <c r="AM713" s="6"/>
      <c r="AN713" s="6"/>
      <c r="AO713" s="6"/>
      <c r="AP713" s="6"/>
      <c r="AQ713" s="6"/>
      <c r="AR713" s="6"/>
      <c r="AS713" s="6"/>
    </row>
    <row r="714" spans="1:45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12"/>
      <c r="AK714" s="12"/>
      <c r="AL714" s="6"/>
      <c r="AM714" s="6"/>
      <c r="AN714" s="6"/>
      <c r="AO714" s="6"/>
      <c r="AP714" s="6"/>
      <c r="AQ714" s="6"/>
      <c r="AR714" s="6"/>
      <c r="AS714" s="6"/>
    </row>
    <row r="715" spans="1:4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12"/>
      <c r="AK715" s="12"/>
      <c r="AL715" s="6"/>
      <c r="AM715" s="6"/>
      <c r="AN715" s="6"/>
      <c r="AO715" s="6"/>
      <c r="AP715" s="6"/>
      <c r="AQ715" s="6"/>
      <c r="AR715" s="6"/>
      <c r="AS715" s="6"/>
    </row>
    <row r="716" spans="1:45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12"/>
      <c r="AK716" s="12"/>
      <c r="AL716" s="6"/>
      <c r="AM716" s="6"/>
      <c r="AN716" s="6"/>
      <c r="AO716" s="6"/>
      <c r="AP716" s="6"/>
      <c r="AQ716" s="6"/>
      <c r="AR716" s="6"/>
      <c r="AS716" s="6"/>
    </row>
    <row r="717" spans="1:45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12"/>
      <c r="AK717" s="12"/>
      <c r="AL717" s="6"/>
      <c r="AM717" s="6"/>
      <c r="AN717" s="6"/>
      <c r="AO717" s="6"/>
      <c r="AP717" s="6"/>
      <c r="AQ717" s="6"/>
      <c r="AR717" s="6"/>
      <c r="AS717" s="6"/>
    </row>
    <row r="718" spans="1:45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12"/>
      <c r="AK718" s="12"/>
      <c r="AL718" s="6"/>
      <c r="AM718" s="6"/>
      <c r="AN718" s="6"/>
      <c r="AO718" s="6"/>
      <c r="AP718" s="6"/>
      <c r="AQ718" s="6"/>
      <c r="AR718" s="6"/>
      <c r="AS718" s="6"/>
    </row>
    <row r="719" spans="1:45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12"/>
      <c r="AK719" s="12"/>
      <c r="AL719" s="6"/>
      <c r="AM719" s="6"/>
      <c r="AN719" s="6"/>
      <c r="AO719" s="6"/>
      <c r="AP719" s="6"/>
      <c r="AQ719" s="6"/>
      <c r="AR719" s="6"/>
      <c r="AS719" s="6"/>
    </row>
    <row r="720" spans="1:45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12"/>
      <c r="AK720" s="12"/>
      <c r="AL720" s="6"/>
      <c r="AM720" s="6"/>
      <c r="AN720" s="6"/>
      <c r="AO720" s="6"/>
      <c r="AP720" s="6"/>
      <c r="AQ720" s="6"/>
      <c r="AR720" s="6"/>
      <c r="AS720" s="6"/>
    </row>
    <row r="721" spans="1:45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12"/>
      <c r="AK721" s="12"/>
      <c r="AL721" s="6"/>
      <c r="AM721" s="6"/>
      <c r="AN721" s="6"/>
      <c r="AO721" s="6"/>
      <c r="AP721" s="6"/>
      <c r="AQ721" s="6"/>
      <c r="AR721" s="6"/>
      <c r="AS721" s="6"/>
    </row>
    <row r="722" spans="1:45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12"/>
      <c r="AK722" s="12"/>
      <c r="AL722" s="6"/>
      <c r="AM722" s="6"/>
      <c r="AN722" s="6"/>
      <c r="AO722" s="6"/>
      <c r="AP722" s="6"/>
      <c r="AQ722" s="6"/>
      <c r="AR722" s="6"/>
      <c r="AS722" s="6"/>
    </row>
    <row r="723" spans="1:45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12"/>
      <c r="AK723" s="12"/>
      <c r="AL723" s="6"/>
      <c r="AM723" s="6"/>
      <c r="AN723" s="6"/>
      <c r="AO723" s="6"/>
      <c r="AP723" s="6"/>
      <c r="AQ723" s="6"/>
      <c r="AR723" s="6"/>
      <c r="AS723" s="6"/>
    </row>
    <row r="724" spans="1:45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12"/>
      <c r="AK724" s="12"/>
      <c r="AL724" s="6"/>
      <c r="AM724" s="6"/>
      <c r="AN724" s="6"/>
      <c r="AO724" s="6"/>
      <c r="AP724" s="6"/>
      <c r="AQ724" s="6"/>
      <c r="AR724" s="6"/>
      <c r="AS724" s="6"/>
    </row>
    <row r="725" spans="1:4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12"/>
      <c r="AK725" s="12"/>
      <c r="AL725" s="6"/>
      <c r="AM725" s="6"/>
      <c r="AN725" s="6"/>
      <c r="AO725" s="6"/>
      <c r="AP725" s="6"/>
      <c r="AQ725" s="6"/>
      <c r="AR725" s="6"/>
      <c r="AS725" s="6"/>
    </row>
    <row r="726" spans="1:45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12"/>
      <c r="AK726" s="12"/>
      <c r="AL726" s="6"/>
      <c r="AM726" s="6"/>
      <c r="AN726" s="6"/>
      <c r="AO726" s="6"/>
      <c r="AP726" s="6"/>
      <c r="AQ726" s="6"/>
      <c r="AR726" s="6"/>
      <c r="AS726" s="6"/>
    </row>
    <row r="727" spans="1:45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12"/>
      <c r="AK727" s="12"/>
      <c r="AL727" s="6"/>
      <c r="AM727" s="6"/>
      <c r="AN727" s="6"/>
      <c r="AO727" s="6"/>
      <c r="AP727" s="6"/>
      <c r="AQ727" s="6"/>
      <c r="AR727" s="6"/>
      <c r="AS727" s="6"/>
    </row>
    <row r="728" spans="1:45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12"/>
      <c r="AK728" s="12"/>
      <c r="AL728" s="6"/>
      <c r="AM728" s="6"/>
      <c r="AN728" s="6"/>
      <c r="AO728" s="6"/>
      <c r="AP728" s="6"/>
      <c r="AQ728" s="6"/>
      <c r="AR728" s="6"/>
      <c r="AS728" s="6"/>
    </row>
    <row r="729" spans="1:45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12"/>
      <c r="AK729" s="12"/>
      <c r="AL729" s="6"/>
      <c r="AM729" s="6"/>
      <c r="AN729" s="6"/>
      <c r="AO729" s="6"/>
      <c r="AP729" s="6"/>
      <c r="AQ729" s="6"/>
      <c r="AR729" s="6"/>
      <c r="AS729" s="6"/>
    </row>
    <row r="730" spans="1:45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12"/>
      <c r="AK730" s="12"/>
      <c r="AL730" s="6"/>
      <c r="AM730" s="6"/>
      <c r="AN730" s="6"/>
      <c r="AO730" s="6"/>
      <c r="AP730" s="6"/>
      <c r="AQ730" s="6"/>
      <c r="AR730" s="6"/>
      <c r="AS730" s="6"/>
    </row>
    <row r="731" spans="1:45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12"/>
      <c r="AK731" s="12"/>
      <c r="AL731" s="6"/>
      <c r="AM731" s="6"/>
      <c r="AN731" s="6"/>
      <c r="AO731" s="6"/>
      <c r="AP731" s="6"/>
      <c r="AQ731" s="6"/>
      <c r="AR731" s="6"/>
      <c r="AS731" s="6"/>
    </row>
    <row r="732" spans="1:45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12"/>
      <c r="AK732" s="12"/>
      <c r="AL732" s="6"/>
      <c r="AM732" s="6"/>
      <c r="AN732" s="6"/>
      <c r="AO732" s="6"/>
      <c r="AP732" s="6"/>
      <c r="AQ732" s="6"/>
      <c r="AR732" s="6"/>
      <c r="AS732" s="6"/>
    </row>
    <row r="733" spans="1:45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12"/>
      <c r="AK733" s="12"/>
      <c r="AL733" s="6"/>
      <c r="AM733" s="6"/>
      <c r="AN733" s="6"/>
      <c r="AO733" s="6"/>
      <c r="AP733" s="6"/>
      <c r="AQ733" s="6"/>
      <c r="AR733" s="6"/>
      <c r="AS733" s="6"/>
    </row>
    <row r="734" spans="1:45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12"/>
      <c r="AK734" s="12"/>
      <c r="AL734" s="6"/>
      <c r="AM734" s="6"/>
      <c r="AN734" s="6"/>
      <c r="AO734" s="6"/>
      <c r="AP734" s="6"/>
      <c r="AQ734" s="6"/>
      <c r="AR734" s="6"/>
      <c r="AS734" s="6"/>
    </row>
    <row r="735" spans="1:4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12"/>
      <c r="AK735" s="12"/>
      <c r="AL735" s="6"/>
      <c r="AM735" s="6"/>
      <c r="AN735" s="6"/>
      <c r="AO735" s="6"/>
      <c r="AP735" s="6"/>
      <c r="AQ735" s="6"/>
      <c r="AR735" s="6"/>
      <c r="AS735" s="6"/>
    </row>
    <row r="736" spans="1:45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12"/>
      <c r="AK736" s="12"/>
      <c r="AL736" s="6"/>
      <c r="AM736" s="6"/>
      <c r="AN736" s="6"/>
      <c r="AO736" s="6"/>
      <c r="AP736" s="6"/>
      <c r="AQ736" s="6"/>
      <c r="AR736" s="6"/>
      <c r="AS736" s="6"/>
    </row>
    <row r="737" spans="1:45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12"/>
      <c r="AK737" s="12"/>
      <c r="AL737" s="6"/>
      <c r="AM737" s="6"/>
      <c r="AN737" s="6"/>
      <c r="AO737" s="6"/>
      <c r="AP737" s="6"/>
      <c r="AQ737" s="6"/>
      <c r="AR737" s="6"/>
      <c r="AS737" s="6"/>
    </row>
    <row r="738" spans="1:45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12"/>
      <c r="AK738" s="12"/>
      <c r="AL738" s="6"/>
      <c r="AM738" s="6"/>
      <c r="AN738" s="6"/>
      <c r="AO738" s="6"/>
      <c r="AP738" s="6"/>
      <c r="AQ738" s="6"/>
      <c r="AR738" s="6"/>
      <c r="AS738" s="6"/>
    </row>
    <row r="739" spans="1:45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12"/>
      <c r="AK739" s="12"/>
      <c r="AL739" s="6"/>
      <c r="AM739" s="6"/>
      <c r="AN739" s="6"/>
      <c r="AO739" s="6"/>
      <c r="AP739" s="6"/>
      <c r="AQ739" s="6"/>
      <c r="AR739" s="6"/>
      <c r="AS739" s="6"/>
    </row>
    <row r="740" spans="1:45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12"/>
      <c r="AK740" s="12"/>
      <c r="AL740" s="6"/>
      <c r="AM740" s="6"/>
      <c r="AN740" s="6"/>
      <c r="AO740" s="6"/>
      <c r="AP740" s="6"/>
      <c r="AQ740" s="6"/>
      <c r="AR740" s="6"/>
      <c r="AS740" s="6"/>
    </row>
    <row r="741" spans="1:45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12"/>
      <c r="AK741" s="12"/>
      <c r="AL741" s="6"/>
      <c r="AM741" s="6"/>
      <c r="AN741" s="6"/>
      <c r="AO741" s="6"/>
      <c r="AP741" s="6"/>
      <c r="AQ741" s="6"/>
      <c r="AR741" s="6"/>
      <c r="AS741" s="6"/>
    </row>
    <row r="742" spans="1:45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12"/>
      <c r="AK742" s="12"/>
      <c r="AL742" s="6"/>
      <c r="AM742" s="6"/>
      <c r="AN742" s="6"/>
      <c r="AO742" s="6"/>
      <c r="AP742" s="6"/>
      <c r="AQ742" s="6"/>
      <c r="AR742" s="6"/>
      <c r="AS742" s="6"/>
    </row>
    <row r="743" spans="1:45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12"/>
      <c r="AK743" s="12"/>
      <c r="AL743" s="6"/>
      <c r="AM743" s="6"/>
      <c r="AN743" s="6"/>
      <c r="AO743" s="6"/>
      <c r="AP743" s="6"/>
      <c r="AQ743" s="6"/>
      <c r="AR743" s="6"/>
      <c r="AS743" s="6"/>
    </row>
    <row r="744" spans="1:45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12"/>
      <c r="AK744" s="12"/>
      <c r="AL744" s="6"/>
      <c r="AM744" s="6"/>
      <c r="AN744" s="6"/>
      <c r="AO744" s="6"/>
      <c r="AP744" s="6"/>
      <c r="AQ744" s="6"/>
      <c r="AR744" s="6"/>
      <c r="AS744" s="6"/>
    </row>
    <row r="745" spans="1: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12"/>
      <c r="AK745" s="12"/>
      <c r="AL745" s="6"/>
      <c r="AM745" s="6"/>
      <c r="AN745" s="6"/>
      <c r="AO745" s="6"/>
      <c r="AP745" s="6"/>
      <c r="AQ745" s="6"/>
      <c r="AR745" s="6"/>
      <c r="AS745" s="6"/>
    </row>
    <row r="746" spans="1:45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12"/>
      <c r="AK746" s="12"/>
      <c r="AL746" s="6"/>
      <c r="AM746" s="6"/>
      <c r="AN746" s="6"/>
      <c r="AO746" s="6"/>
      <c r="AP746" s="6"/>
      <c r="AQ746" s="6"/>
      <c r="AR746" s="6"/>
      <c r="AS746" s="6"/>
    </row>
    <row r="747" spans="1:45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12"/>
      <c r="AK747" s="12"/>
      <c r="AL747" s="6"/>
      <c r="AM747" s="6"/>
      <c r="AN747" s="6"/>
      <c r="AO747" s="6"/>
      <c r="AP747" s="6"/>
      <c r="AQ747" s="6"/>
      <c r="AR747" s="6"/>
      <c r="AS747" s="6"/>
    </row>
    <row r="748" spans="1:45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12"/>
      <c r="AK748" s="12"/>
      <c r="AL748" s="6"/>
      <c r="AM748" s="6"/>
      <c r="AN748" s="6"/>
      <c r="AO748" s="6"/>
      <c r="AP748" s="6"/>
      <c r="AQ748" s="6"/>
      <c r="AR748" s="6"/>
      <c r="AS748" s="6"/>
    </row>
    <row r="749" spans="1:45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12"/>
      <c r="AK749" s="12"/>
      <c r="AL749" s="6"/>
      <c r="AM749" s="6"/>
      <c r="AN749" s="6"/>
      <c r="AO749" s="6"/>
      <c r="AP749" s="6"/>
      <c r="AQ749" s="6"/>
      <c r="AR749" s="6"/>
      <c r="AS749" s="6"/>
    </row>
    <row r="750" spans="1:45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12"/>
      <c r="AK750" s="12"/>
      <c r="AL750" s="6"/>
      <c r="AM750" s="6"/>
      <c r="AN750" s="6"/>
      <c r="AO750" s="6"/>
      <c r="AP750" s="6"/>
      <c r="AQ750" s="6"/>
      <c r="AR750" s="6"/>
      <c r="AS750" s="6"/>
    </row>
    <row r="751" spans="1:45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12"/>
      <c r="AK751" s="12"/>
      <c r="AL751" s="6"/>
      <c r="AM751" s="6"/>
      <c r="AN751" s="6"/>
      <c r="AO751" s="6"/>
      <c r="AP751" s="6"/>
      <c r="AQ751" s="6"/>
      <c r="AR751" s="6"/>
      <c r="AS751" s="6"/>
    </row>
    <row r="752" spans="1:45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12"/>
      <c r="AK752" s="12"/>
      <c r="AL752" s="6"/>
      <c r="AM752" s="6"/>
      <c r="AN752" s="6"/>
      <c r="AO752" s="6"/>
      <c r="AP752" s="6"/>
      <c r="AQ752" s="6"/>
      <c r="AR752" s="6"/>
      <c r="AS752" s="6"/>
    </row>
    <row r="753" spans="1:45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12"/>
      <c r="AK753" s="12"/>
      <c r="AL753" s="6"/>
      <c r="AM753" s="6"/>
      <c r="AN753" s="6"/>
      <c r="AO753" s="6"/>
      <c r="AP753" s="6"/>
      <c r="AQ753" s="6"/>
      <c r="AR753" s="6"/>
      <c r="AS753" s="6"/>
    </row>
    <row r="754" spans="1:45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12"/>
      <c r="AK754" s="12"/>
      <c r="AL754" s="6"/>
      <c r="AM754" s="6"/>
      <c r="AN754" s="6"/>
      <c r="AO754" s="6"/>
      <c r="AP754" s="6"/>
      <c r="AQ754" s="6"/>
      <c r="AR754" s="6"/>
      <c r="AS754" s="6"/>
    </row>
    <row r="755" spans="1:4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12"/>
      <c r="AK755" s="12"/>
      <c r="AL755" s="6"/>
      <c r="AM755" s="6"/>
      <c r="AN755" s="6"/>
      <c r="AO755" s="6"/>
      <c r="AP755" s="6"/>
      <c r="AQ755" s="6"/>
      <c r="AR755" s="6"/>
      <c r="AS755" s="6"/>
    </row>
    <row r="756" spans="1:45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12"/>
      <c r="AK756" s="12"/>
      <c r="AL756" s="6"/>
      <c r="AM756" s="6"/>
      <c r="AN756" s="6"/>
      <c r="AO756" s="6"/>
      <c r="AP756" s="6"/>
      <c r="AQ756" s="6"/>
      <c r="AR756" s="6"/>
      <c r="AS756" s="6"/>
    </row>
    <row r="757" spans="1:45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12"/>
      <c r="AK757" s="12"/>
      <c r="AL757" s="6"/>
      <c r="AM757" s="6"/>
      <c r="AN757" s="6"/>
      <c r="AO757" s="6"/>
      <c r="AP757" s="6"/>
      <c r="AQ757" s="6"/>
      <c r="AR757" s="6"/>
      <c r="AS757" s="6"/>
    </row>
    <row r="758" spans="1:45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12"/>
      <c r="AK758" s="12"/>
      <c r="AL758" s="6"/>
      <c r="AM758" s="6"/>
      <c r="AN758" s="6"/>
      <c r="AO758" s="6"/>
      <c r="AP758" s="6"/>
      <c r="AQ758" s="6"/>
      <c r="AR758" s="6"/>
      <c r="AS758" s="6"/>
    </row>
    <row r="759" spans="1:45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12"/>
      <c r="AK759" s="12"/>
      <c r="AL759" s="6"/>
      <c r="AM759" s="6"/>
      <c r="AN759" s="6"/>
      <c r="AO759" s="6"/>
      <c r="AP759" s="6"/>
      <c r="AQ759" s="6"/>
      <c r="AR759" s="6"/>
      <c r="AS759" s="6"/>
    </row>
    <row r="760" spans="1:45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12"/>
      <c r="AK760" s="12"/>
      <c r="AL760" s="6"/>
      <c r="AM760" s="6"/>
      <c r="AN760" s="6"/>
      <c r="AO760" s="6"/>
      <c r="AP760" s="6"/>
      <c r="AQ760" s="6"/>
      <c r="AR760" s="6"/>
      <c r="AS760" s="6"/>
    </row>
    <row r="761" spans="1:45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12"/>
      <c r="AK761" s="12"/>
      <c r="AL761" s="6"/>
      <c r="AM761" s="6"/>
      <c r="AN761" s="6"/>
      <c r="AO761" s="6"/>
      <c r="AP761" s="6"/>
      <c r="AQ761" s="6"/>
      <c r="AR761" s="6"/>
      <c r="AS761" s="6"/>
    </row>
    <row r="762" spans="1:45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12"/>
      <c r="AK762" s="12"/>
      <c r="AL762" s="6"/>
      <c r="AM762" s="6"/>
      <c r="AN762" s="6"/>
      <c r="AO762" s="6"/>
      <c r="AP762" s="6"/>
      <c r="AQ762" s="6"/>
      <c r="AR762" s="6"/>
      <c r="AS762" s="6"/>
    </row>
    <row r="763" spans="1:45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12"/>
      <c r="AK763" s="12"/>
      <c r="AL763" s="6"/>
      <c r="AM763" s="6"/>
      <c r="AN763" s="6"/>
      <c r="AO763" s="6"/>
      <c r="AP763" s="6"/>
      <c r="AQ763" s="6"/>
      <c r="AR763" s="6"/>
      <c r="AS763" s="6"/>
    </row>
    <row r="764" spans="1:45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12"/>
      <c r="AK764" s="12"/>
      <c r="AL764" s="6"/>
      <c r="AM764" s="6"/>
      <c r="AN764" s="6"/>
      <c r="AO764" s="6"/>
      <c r="AP764" s="6"/>
      <c r="AQ764" s="6"/>
      <c r="AR764" s="6"/>
      <c r="AS764" s="6"/>
    </row>
    <row r="765" spans="1:4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12"/>
      <c r="AK765" s="12"/>
      <c r="AL765" s="6"/>
      <c r="AM765" s="6"/>
      <c r="AN765" s="6"/>
      <c r="AO765" s="6"/>
      <c r="AP765" s="6"/>
      <c r="AQ765" s="6"/>
      <c r="AR765" s="6"/>
      <c r="AS765" s="6"/>
    </row>
    <row r="766" spans="1:45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12"/>
      <c r="AK766" s="12"/>
      <c r="AL766" s="6"/>
      <c r="AM766" s="6"/>
      <c r="AN766" s="6"/>
      <c r="AO766" s="6"/>
      <c r="AP766" s="6"/>
      <c r="AQ766" s="6"/>
      <c r="AR766" s="6"/>
      <c r="AS766" s="6"/>
    </row>
    <row r="767" spans="1:45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12"/>
      <c r="AK767" s="12"/>
      <c r="AL767" s="6"/>
      <c r="AM767" s="6"/>
      <c r="AN767" s="6"/>
      <c r="AO767" s="6"/>
      <c r="AP767" s="6"/>
      <c r="AQ767" s="6"/>
      <c r="AR767" s="6"/>
      <c r="AS767" s="6"/>
    </row>
    <row r="768" spans="1:45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12"/>
      <c r="AK768" s="12"/>
      <c r="AL768" s="6"/>
      <c r="AM768" s="6"/>
      <c r="AN768" s="6"/>
      <c r="AO768" s="6"/>
      <c r="AP768" s="6"/>
      <c r="AQ768" s="6"/>
      <c r="AR768" s="6"/>
      <c r="AS768" s="6"/>
    </row>
    <row r="769" spans="1:45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12"/>
      <c r="AK769" s="12"/>
      <c r="AL769" s="6"/>
      <c r="AM769" s="6"/>
      <c r="AN769" s="6"/>
      <c r="AO769" s="6"/>
      <c r="AP769" s="6"/>
      <c r="AQ769" s="6"/>
      <c r="AR769" s="6"/>
      <c r="AS769" s="6"/>
    </row>
    <row r="770" spans="1:45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12"/>
      <c r="AK770" s="12"/>
      <c r="AL770" s="6"/>
      <c r="AM770" s="6"/>
      <c r="AN770" s="6"/>
      <c r="AO770" s="6"/>
      <c r="AP770" s="6"/>
      <c r="AQ770" s="6"/>
      <c r="AR770" s="6"/>
      <c r="AS770" s="6"/>
    </row>
    <row r="771" spans="1:45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12"/>
      <c r="AK771" s="12"/>
      <c r="AL771" s="6"/>
      <c r="AM771" s="6"/>
      <c r="AN771" s="6"/>
      <c r="AO771" s="6"/>
      <c r="AP771" s="6"/>
      <c r="AQ771" s="6"/>
      <c r="AR771" s="6"/>
      <c r="AS771" s="6"/>
    </row>
    <row r="772" spans="1:45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12"/>
      <c r="AK772" s="12"/>
      <c r="AL772" s="6"/>
      <c r="AM772" s="6"/>
      <c r="AN772" s="6"/>
      <c r="AO772" s="6"/>
      <c r="AP772" s="6"/>
      <c r="AQ772" s="6"/>
      <c r="AR772" s="6"/>
      <c r="AS772" s="6"/>
    </row>
    <row r="773" spans="1:45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12"/>
      <c r="AK773" s="12"/>
      <c r="AL773" s="6"/>
      <c r="AM773" s="6"/>
      <c r="AN773" s="6"/>
      <c r="AO773" s="6"/>
      <c r="AP773" s="6"/>
      <c r="AQ773" s="6"/>
      <c r="AR773" s="6"/>
      <c r="AS773" s="6"/>
    </row>
    <row r="774" spans="1:45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12"/>
      <c r="AK774" s="12"/>
      <c r="AL774" s="6"/>
      <c r="AM774" s="6"/>
      <c r="AN774" s="6"/>
      <c r="AO774" s="6"/>
      <c r="AP774" s="6"/>
      <c r="AQ774" s="6"/>
      <c r="AR774" s="6"/>
      <c r="AS774" s="6"/>
    </row>
    <row r="775" spans="1:4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12"/>
      <c r="AK775" s="12"/>
      <c r="AL775" s="6"/>
      <c r="AM775" s="6"/>
      <c r="AN775" s="6"/>
      <c r="AO775" s="6"/>
      <c r="AP775" s="6"/>
      <c r="AQ775" s="6"/>
      <c r="AR775" s="6"/>
      <c r="AS775" s="6"/>
    </row>
    <row r="776" spans="1:45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12"/>
      <c r="AK776" s="12"/>
      <c r="AL776" s="6"/>
      <c r="AM776" s="6"/>
      <c r="AN776" s="6"/>
      <c r="AO776" s="6"/>
      <c r="AP776" s="6"/>
      <c r="AQ776" s="6"/>
      <c r="AR776" s="6"/>
      <c r="AS776" s="6"/>
    </row>
    <row r="777" spans="1:45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12"/>
      <c r="AK777" s="12"/>
      <c r="AL777" s="6"/>
      <c r="AM777" s="6"/>
      <c r="AN777" s="6"/>
      <c r="AO777" s="6"/>
      <c r="AP777" s="6"/>
      <c r="AQ777" s="6"/>
      <c r="AR777" s="6"/>
      <c r="AS777" s="6"/>
    </row>
    <row r="778" spans="1:45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12"/>
      <c r="AK778" s="12"/>
      <c r="AL778" s="6"/>
      <c r="AM778" s="6"/>
      <c r="AN778" s="6"/>
      <c r="AO778" s="6"/>
      <c r="AP778" s="6"/>
      <c r="AQ778" s="6"/>
      <c r="AR778" s="6"/>
      <c r="AS778" s="6"/>
    </row>
    <row r="779" spans="1:45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12"/>
      <c r="AK779" s="12"/>
      <c r="AL779" s="6"/>
      <c r="AM779" s="6"/>
      <c r="AN779" s="6"/>
      <c r="AO779" s="6"/>
      <c r="AP779" s="6"/>
      <c r="AQ779" s="6"/>
      <c r="AR779" s="6"/>
      <c r="AS779" s="6"/>
    </row>
    <row r="780" spans="1:45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12"/>
      <c r="AK780" s="12"/>
      <c r="AL780" s="6"/>
      <c r="AM780" s="6"/>
      <c r="AN780" s="6"/>
      <c r="AO780" s="6"/>
      <c r="AP780" s="6"/>
      <c r="AQ780" s="6"/>
      <c r="AR780" s="6"/>
      <c r="AS780" s="6"/>
    </row>
    <row r="781" spans="1:45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12"/>
      <c r="AK781" s="12"/>
      <c r="AL781" s="6"/>
      <c r="AM781" s="6"/>
      <c r="AN781" s="6"/>
      <c r="AO781" s="6"/>
      <c r="AP781" s="6"/>
      <c r="AQ781" s="6"/>
      <c r="AR781" s="6"/>
      <c r="AS781" s="6"/>
    </row>
    <row r="782" spans="1:45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12"/>
      <c r="AK782" s="12"/>
      <c r="AL782" s="6"/>
      <c r="AM782" s="6"/>
      <c r="AN782" s="6"/>
      <c r="AO782" s="6"/>
      <c r="AP782" s="6"/>
      <c r="AQ782" s="6"/>
      <c r="AR782" s="6"/>
      <c r="AS782" s="6"/>
    </row>
    <row r="783" spans="1:45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12"/>
      <c r="AK783" s="12"/>
      <c r="AL783" s="6"/>
      <c r="AM783" s="6"/>
      <c r="AN783" s="6"/>
      <c r="AO783" s="6"/>
      <c r="AP783" s="6"/>
      <c r="AQ783" s="6"/>
      <c r="AR783" s="6"/>
      <c r="AS783" s="6"/>
    </row>
    <row r="784" spans="1:45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12"/>
      <c r="AK784" s="12"/>
      <c r="AL784" s="6"/>
      <c r="AM784" s="6"/>
      <c r="AN784" s="6"/>
      <c r="AO784" s="6"/>
      <c r="AP784" s="6"/>
      <c r="AQ784" s="6"/>
      <c r="AR784" s="6"/>
      <c r="AS784" s="6"/>
    </row>
    <row r="785" spans="1:4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12"/>
      <c r="AK785" s="12"/>
      <c r="AL785" s="6"/>
      <c r="AM785" s="6"/>
      <c r="AN785" s="6"/>
      <c r="AO785" s="6"/>
      <c r="AP785" s="6"/>
      <c r="AQ785" s="6"/>
      <c r="AR785" s="6"/>
      <c r="AS785" s="6"/>
    </row>
    <row r="786" spans="1:45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12"/>
      <c r="AK786" s="12"/>
      <c r="AL786" s="6"/>
      <c r="AM786" s="6"/>
      <c r="AN786" s="6"/>
      <c r="AO786" s="6"/>
      <c r="AP786" s="6"/>
      <c r="AQ786" s="6"/>
      <c r="AR786" s="6"/>
      <c r="AS786" s="6"/>
    </row>
    <row r="787" spans="1:45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12"/>
      <c r="AK787" s="12"/>
      <c r="AL787" s="6"/>
      <c r="AM787" s="6"/>
      <c r="AN787" s="6"/>
      <c r="AO787" s="6"/>
      <c r="AP787" s="6"/>
      <c r="AQ787" s="6"/>
      <c r="AR787" s="6"/>
      <c r="AS787" s="6"/>
    </row>
    <row r="788" spans="1:45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12"/>
      <c r="AK788" s="12"/>
      <c r="AL788" s="6"/>
      <c r="AM788" s="6"/>
      <c r="AN788" s="6"/>
      <c r="AO788" s="6"/>
      <c r="AP788" s="6"/>
      <c r="AQ788" s="6"/>
      <c r="AR788" s="6"/>
      <c r="AS788" s="6"/>
    </row>
    <row r="789" spans="1:45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12"/>
      <c r="AK789" s="12"/>
      <c r="AL789" s="6"/>
      <c r="AM789" s="6"/>
      <c r="AN789" s="6"/>
      <c r="AO789" s="6"/>
      <c r="AP789" s="6"/>
      <c r="AQ789" s="6"/>
      <c r="AR789" s="6"/>
      <c r="AS789" s="6"/>
    </row>
    <row r="790" spans="1:45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12"/>
      <c r="AK790" s="12"/>
      <c r="AL790" s="6"/>
      <c r="AM790" s="6"/>
      <c r="AN790" s="6"/>
      <c r="AO790" s="6"/>
      <c r="AP790" s="6"/>
      <c r="AQ790" s="6"/>
      <c r="AR790" s="6"/>
      <c r="AS790" s="6"/>
    </row>
    <row r="791" spans="1:45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12"/>
      <c r="AK791" s="12"/>
      <c r="AL791" s="6"/>
      <c r="AM791" s="6"/>
      <c r="AN791" s="6"/>
      <c r="AO791" s="6"/>
      <c r="AP791" s="6"/>
      <c r="AQ791" s="6"/>
      <c r="AR791" s="6"/>
      <c r="AS791" s="6"/>
    </row>
    <row r="792" spans="1:45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12"/>
      <c r="AK792" s="12"/>
      <c r="AL792" s="6"/>
      <c r="AM792" s="6"/>
      <c r="AN792" s="6"/>
      <c r="AO792" s="6"/>
      <c r="AP792" s="6"/>
      <c r="AQ792" s="6"/>
      <c r="AR792" s="6"/>
      <c r="AS792" s="6"/>
    </row>
    <row r="793" spans="1:45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12"/>
      <c r="AK793" s="12"/>
      <c r="AL793" s="6"/>
      <c r="AM793" s="6"/>
      <c r="AN793" s="6"/>
      <c r="AO793" s="6"/>
      <c r="AP793" s="6"/>
      <c r="AQ793" s="6"/>
      <c r="AR793" s="6"/>
      <c r="AS793" s="6"/>
    </row>
    <row r="794" spans="1:45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12"/>
      <c r="AK794" s="12"/>
      <c r="AL794" s="6"/>
      <c r="AM794" s="6"/>
      <c r="AN794" s="6"/>
      <c r="AO794" s="6"/>
      <c r="AP794" s="6"/>
      <c r="AQ794" s="6"/>
      <c r="AR794" s="6"/>
      <c r="AS794" s="6"/>
    </row>
    <row r="795" spans="1:4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12"/>
      <c r="AK795" s="12"/>
      <c r="AL795" s="6"/>
      <c r="AM795" s="6"/>
      <c r="AN795" s="6"/>
      <c r="AO795" s="6"/>
      <c r="AP795" s="6"/>
      <c r="AQ795" s="6"/>
      <c r="AR795" s="6"/>
      <c r="AS795" s="6"/>
    </row>
    <row r="796" spans="1:45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12"/>
      <c r="AK796" s="12"/>
      <c r="AL796" s="6"/>
      <c r="AM796" s="6"/>
      <c r="AN796" s="6"/>
      <c r="AO796" s="6"/>
      <c r="AP796" s="6"/>
      <c r="AQ796" s="6"/>
      <c r="AR796" s="6"/>
      <c r="AS796" s="6"/>
    </row>
    <row r="797" spans="1:45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12"/>
      <c r="AK797" s="12"/>
      <c r="AL797" s="6"/>
      <c r="AM797" s="6"/>
      <c r="AN797" s="6"/>
      <c r="AO797" s="6"/>
      <c r="AP797" s="6"/>
      <c r="AQ797" s="6"/>
      <c r="AR797" s="6"/>
      <c r="AS797" s="6"/>
    </row>
    <row r="798" spans="1:45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12"/>
      <c r="AK798" s="12"/>
      <c r="AL798" s="6"/>
      <c r="AM798" s="6"/>
      <c r="AN798" s="6"/>
      <c r="AO798" s="6"/>
      <c r="AP798" s="6"/>
      <c r="AQ798" s="6"/>
      <c r="AR798" s="6"/>
      <c r="AS798" s="6"/>
    </row>
    <row r="799" spans="1:45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12"/>
      <c r="AK799" s="12"/>
      <c r="AL799" s="6"/>
      <c r="AM799" s="6"/>
      <c r="AN799" s="6"/>
      <c r="AO799" s="6"/>
      <c r="AP799" s="6"/>
      <c r="AQ799" s="6"/>
      <c r="AR799" s="6"/>
      <c r="AS799" s="6"/>
    </row>
    <row r="800" spans="1:45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12"/>
      <c r="AK800" s="12"/>
      <c r="AL800" s="6"/>
      <c r="AM800" s="6"/>
      <c r="AN800" s="6"/>
      <c r="AO800" s="6"/>
      <c r="AP800" s="6"/>
      <c r="AQ800" s="6"/>
      <c r="AR800" s="6"/>
      <c r="AS800" s="6"/>
    </row>
    <row r="801" spans="1:45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12"/>
      <c r="AK801" s="12"/>
      <c r="AL801" s="6"/>
      <c r="AM801" s="6"/>
      <c r="AN801" s="6"/>
      <c r="AO801" s="6"/>
      <c r="AP801" s="6"/>
      <c r="AQ801" s="6"/>
      <c r="AR801" s="6"/>
      <c r="AS801" s="6"/>
    </row>
    <row r="802" spans="1:45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12"/>
      <c r="AK802" s="12"/>
      <c r="AL802" s="6"/>
      <c r="AM802" s="6"/>
      <c r="AN802" s="6"/>
      <c r="AO802" s="6"/>
      <c r="AP802" s="6"/>
      <c r="AQ802" s="6"/>
      <c r="AR802" s="6"/>
      <c r="AS802" s="6"/>
    </row>
    <row r="803" spans="1:45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12"/>
      <c r="AK803" s="12"/>
      <c r="AL803" s="6"/>
      <c r="AM803" s="6"/>
      <c r="AN803" s="6"/>
      <c r="AO803" s="6"/>
      <c r="AP803" s="6"/>
      <c r="AQ803" s="6"/>
      <c r="AR803" s="6"/>
      <c r="AS803" s="6"/>
    </row>
    <row r="804" spans="1:45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12"/>
      <c r="AK804" s="12"/>
      <c r="AL804" s="6"/>
      <c r="AM804" s="6"/>
      <c r="AN804" s="6"/>
      <c r="AO804" s="6"/>
      <c r="AP804" s="6"/>
      <c r="AQ804" s="6"/>
      <c r="AR804" s="6"/>
      <c r="AS804" s="6"/>
    </row>
    <row r="805" spans="1:4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12"/>
      <c r="AK805" s="12"/>
      <c r="AL805" s="6"/>
      <c r="AM805" s="6"/>
      <c r="AN805" s="6"/>
      <c r="AO805" s="6"/>
      <c r="AP805" s="6"/>
      <c r="AQ805" s="6"/>
      <c r="AR805" s="6"/>
      <c r="AS805" s="6"/>
    </row>
    <row r="806" spans="1:45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12"/>
      <c r="AK806" s="12"/>
      <c r="AL806" s="6"/>
      <c r="AM806" s="6"/>
      <c r="AN806" s="6"/>
      <c r="AO806" s="6"/>
      <c r="AP806" s="6"/>
      <c r="AQ806" s="6"/>
      <c r="AR806" s="6"/>
      <c r="AS806" s="6"/>
    </row>
    <row r="807" spans="1:45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12"/>
      <c r="AK807" s="12"/>
      <c r="AL807" s="6"/>
      <c r="AM807" s="6"/>
      <c r="AN807" s="6"/>
      <c r="AO807" s="6"/>
      <c r="AP807" s="6"/>
      <c r="AQ807" s="6"/>
      <c r="AR807" s="6"/>
      <c r="AS807" s="6"/>
    </row>
    <row r="808" spans="1:45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12"/>
      <c r="AK808" s="12"/>
      <c r="AL808" s="6"/>
      <c r="AM808" s="6"/>
      <c r="AN808" s="6"/>
      <c r="AO808" s="6"/>
      <c r="AP808" s="6"/>
      <c r="AQ808" s="6"/>
      <c r="AR808" s="6"/>
      <c r="AS808" s="6"/>
    </row>
    <row r="809" spans="1:45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12"/>
      <c r="AK809" s="12"/>
      <c r="AL809" s="6"/>
      <c r="AM809" s="6"/>
      <c r="AN809" s="6"/>
      <c r="AO809" s="6"/>
      <c r="AP809" s="6"/>
      <c r="AQ809" s="6"/>
      <c r="AR809" s="6"/>
      <c r="AS809" s="6"/>
    </row>
    <row r="810" spans="1:45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12"/>
      <c r="AK810" s="12"/>
      <c r="AL810" s="6"/>
      <c r="AM810" s="6"/>
      <c r="AN810" s="6"/>
      <c r="AO810" s="6"/>
      <c r="AP810" s="6"/>
      <c r="AQ810" s="6"/>
      <c r="AR810" s="6"/>
      <c r="AS810" s="6"/>
    </row>
    <row r="811" spans="1:45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12"/>
      <c r="AK811" s="12"/>
      <c r="AL811" s="6"/>
      <c r="AM811" s="6"/>
      <c r="AN811" s="6"/>
      <c r="AO811" s="6"/>
      <c r="AP811" s="6"/>
      <c r="AQ811" s="6"/>
      <c r="AR811" s="6"/>
      <c r="AS811" s="6"/>
    </row>
    <row r="812" spans="1:45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12"/>
      <c r="AK812" s="12"/>
      <c r="AL812" s="6"/>
      <c r="AM812" s="6"/>
      <c r="AN812" s="6"/>
      <c r="AO812" s="6"/>
      <c r="AP812" s="6"/>
      <c r="AQ812" s="6"/>
      <c r="AR812" s="6"/>
      <c r="AS812" s="6"/>
    </row>
    <row r="813" spans="1:45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12"/>
      <c r="AK813" s="12"/>
      <c r="AL813" s="6"/>
      <c r="AM813" s="6"/>
      <c r="AN813" s="6"/>
      <c r="AO813" s="6"/>
      <c r="AP813" s="6"/>
      <c r="AQ813" s="6"/>
      <c r="AR813" s="6"/>
      <c r="AS813" s="6"/>
    </row>
    <row r="814" spans="1:45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12"/>
      <c r="AK814" s="12"/>
      <c r="AL814" s="6"/>
      <c r="AM814" s="6"/>
      <c r="AN814" s="6"/>
      <c r="AO814" s="6"/>
      <c r="AP814" s="6"/>
      <c r="AQ814" s="6"/>
      <c r="AR814" s="6"/>
      <c r="AS814" s="6"/>
    </row>
    <row r="815" spans="1:4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12"/>
      <c r="AK815" s="12"/>
      <c r="AL815" s="6"/>
      <c r="AM815" s="6"/>
      <c r="AN815" s="6"/>
      <c r="AO815" s="6"/>
      <c r="AP815" s="6"/>
      <c r="AQ815" s="6"/>
      <c r="AR815" s="6"/>
      <c r="AS815" s="6"/>
    </row>
    <row r="816" spans="1:45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12"/>
      <c r="AK816" s="12"/>
      <c r="AL816" s="6"/>
      <c r="AM816" s="6"/>
      <c r="AN816" s="6"/>
      <c r="AO816" s="6"/>
      <c r="AP816" s="6"/>
      <c r="AQ816" s="6"/>
      <c r="AR816" s="6"/>
      <c r="AS816" s="6"/>
    </row>
    <row r="817" spans="1:45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12"/>
      <c r="AK817" s="12"/>
      <c r="AL817" s="6"/>
      <c r="AM817" s="6"/>
      <c r="AN817" s="6"/>
      <c r="AO817" s="6"/>
      <c r="AP817" s="6"/>
      <c r="AQ817" s="6"/>
      <c r="AR817" s="6"/>
      <c r="AS817" s="6"/>
    </row>
    <row r="818" spans="1:45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12"/>
      <c r="AK818" s="12"/>
      <c r="AL818" s="6"/>
      <c r="AM818" s="6"/>
      <c r="AN818" s="6"/>
      <c r="AO818" s="6"/>
      <c r="AP818" s="6"/>
      <c r="AQ818" s="6"/>
      <c r="AR818" s="6"/>
      <c r="AS818" s="6"/>
    </row>
    <row r="819" spans="1:45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12"/>
      <c r="AK819" s="12"/>
      <c r="AL819" s="6"/>
      <c r="AM819" s="6"/>
      <c r="AN819" s="6"/>
      <c r="AO819" s="6"/>
      <c r="AP819" s="6"/>
      <c r="AQ819" s="6"/>
      <c r="AR819" s="6"/>
      <c r="AS819" s="6"/>
    </row>
    <row r="820" spans="1:45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12"/>
      <c r="AK820" s="12"/>
      <c r="AL820" s="6"/>
      <c r="AM820" s="6"/>
      <c r="AN820" s="6"/>
      <c r="AO820" s="6"/>
      <c r="AP820" s="6"/>
      <c r="AQ820" s="6"/>
      <c r="AR820" s="6"/>
      <c r="AS820" s="6"/>
    </row>
    <row r="821" spans="1:45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12"/>
      <c r="AK821" s="12"/>
      <c r="AL821" s="6"/>
      <c r="AM821" s="6"/>
      <c r="AN821" s="6"/>
      <c r="AO821" s="6"/>
      <c r="AP821" s="6"/>
      <c r="AQ821" s="6"/>
      <c r="AR821" s="6"/>
      <c r="AS821" s="6"/>
    </row>
    <row r="822" spans="1:45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12"/>
      <c r="AK822" s="12"/>
      <c r="AL822" s="6"/>
      <c r="AM822" s="6"/>
      <c r="AN822" s="6"/>
      <c r="AO822" s="6"/>
      <c r="AP822" s="6"/>
      <c r="AQ822" s="6"/>
      <c r="AR822" s="6"/>
      <c r="AS822" s="6"/>
    </row>
    <row r="823" spans="1:45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12"/>
      <c r="AK823" s="12"/>
      <c r="AL823" s="6"/>
      <c r="AM823" s="6"/>
      <c r="AN823" s="6"/>
      <c r="AO823" s="6"/>
      <c r="AP823" s="6"/>
      <c r="AQ823" s="6"/>
      <c r="AR823" s="6"/>
      <c r="AS823" s="6"/>
    </row>
    <row r="824" spans="1:45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12"/>
      <c r="AK824" s="12"/>
      <c r="AL824" s="6"/>
      <c r="AM824" s="6"/>
      <c r="AN824" s="6"/>
      <c r="AO824" s="6"/>
      <c r="AP824" s="6"/>
      <c r="AQ824" s="6"/>
      <c r="AR824" s="6"/>
      <c r="AS824" s="6"/>
    </row>
    <row r="825" spans="1:4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12"/>
      <c r="AK825" s="12"/>
      <c r="AL825" s="6"/>
      <c r="AM825" s="6"/>
      <c r="AN825" s="6"/>
      <c r="AO825" s="6"/>
      <c r="AP825" s="6"/>
      <c r="AQ825" s="6"/>
      <c r="AR825" s="6"/>
      <c r="AS825" s="6"/>
    </row>
    <row r="826" spans="1:45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12"/>
      <c r="AK826" s="12"/>
      <c r="AL826" s="6"/>
      <c r="AM826" s="6"/>
      <c r="AN826" s="6"/>
      <c r="AO826" s="6"/>
      <c r="AP826" s="6"/>
      <c r="AQ826" s="6"/>
      <c r="AR826" s="6"/>
      <c r="AS826" s="6"/>
    </row>
    <row r="827" spans="1:45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12"/>
      <c r="AK827" s="12"/>
      <c r="AL827" s="6"/>
      <c r="AM827" s="6"/>
      <c r="AN827" s="6"/>
      <c r="AO827" s="6"/>
      <c r="AP827" s="6"/>
      <c r="AQ827" s="6"/>
      <c r="AR827" s="6"/>
      <c r="AS827" s="6"/>
    </row>
    <row r="828" spans="1:45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12"/>
      <c r="AK828" s="12"/>
      <c r="AL828" s="6"/>
      <c r="AM828" s="6"/>
      <c r="AN828" s="6"/>
      <c r="AO828" s="6"/>
      <c r="AP828" s="6"/>
      <c r="AQ828" s="6"/>
      <c r="AR828" s="6"/>
      <c r="AS828" s="6"/>
    </row>
    <row r="829" spans="1:45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12"/>
      <c r="AK829" s="12"/>
      <c r="AL829" s="6"/>
      <c r="AM829" s="6"/>
      <c r="AN829" s="6"/>
      <c r="AO829" s="6"/>
      <c r="AP829" s="6"/>
      <c r="AQ829" s="6"/>
      <c r="AR829" s="6"/>
      <c r="AS829" s="6"/>
    </row>
    <row r="830" spans="1:45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12"/>
      <c r="AK830" s="12"/>
      <c r="AL830" s="6"/>
      <c r="AM830" s="6"/>
      <c r="AN830" s="6"/>
      <c r="AO830" s="6"/>
      <c r="AP830" s="6"/>
      <c r="AQ830" s="6"/>
      <c r="AR830" s="6"/>
      <c r="AS830" s="6"/>
    </row>
    <row r="831" spans="1:45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12"/>
      <c r="AK831" s="12"/>
      <c r="AL831" s="6"/>
      <c r="AM831" s="6"/>
      <c r="AN831" s="6"/>
      <c r="AO831" s="6"/>
      <c r="AP831" s="6"/>
      <c r="AQ831" s="6"/>
      <c r="AR831" s="6"/>
      <c r="AS831" s="6"/>
    </row>
    <row r="832" spans="1:45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12"/>
      <c r="AK832" s="12"/>
      <c r="AL832" s="6"/>
      <c r="AM832" s="6"/>
      <c r="AN832" s="6"/>
      <c r="AO832" s="6"/>
      <c r="AP832" s="6"/>
      <c r="AQ832" s="6"/>
      <c r="AR832" s="6"/>
      <c r="AS832" s="6"/>
    </row>
    <row r="833" spans="1:45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12"/>
      <c r="AK833" s="12"/>
      <c r="AL833" s="6"/>
      <c r="AM833" s="6"/>
      <c r="AN833" s="6"/>
      <c r="AO833" s="6"/>
      <c r="AP833" s="6"/>
      <c r="AQ833" s="6"/>
      <c r="AR833" s="6"/>
      <c r="AS833" s="6"/>
    </row>
    <row r="834" spans="1:45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12"/>
      <c r="AK834" s="12"/>
      <c r="AL834" s="6"/>
      <c r="AM834" s="6"/>
      <c r="AN834" s="6"/>
      <c r="AO834" s="6"/>
      <c r="AP834" s="6"/>
      <c r="AQ834" s="6"/>
      <c r="AR834" s="6"/>
      <c r="AS834" s="6"/>
    </row>
    <row r="835" spans="1:4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12"/>
      <c r="AK835" s="12"/>
      <c r="AL835" s="6"/>
      <c r="AM835" s="6"/>
      <c r="AN835" s="6"/>
      <c r="AO835" s="6"/>
      <c r="AP835" s="6"/>
      <c r="AQ835" s="6"/>
      <c r="AR835" s="6"/>
      <c r="AS835" s="6"/>
    </row>
    <row r="836" spans="1:45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12"/>
      <c r="AK836" s="12"/>
      <c r="AL836" s="6"/>
      <c r="AM836" s="6"/>
      <c r="AN836" s="6"/>
      <c r="AO836" s="6"/>
      <c r="AP836" s="6"/>
      <c r="AQ836" s="6"/>
      <c r="AR836" s="6"/>
      <c r="AS836" s="6"/>
    </row>
    <row r="837" spans="1:45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12"/>
      <c r="AK837" s="12"/>
      <c r="AL837" s="6"/>
      <c r="AM837" s="6"/>
      <c r="AN837" s="6"/>
      <c r="AO837" s="6"/>
      <c r="AP837" s="6"/>
      <c r="AQ837" s="6"/>
      <c r="AR837" s="6"/>
      <c r="AS837" s="6"/>
    </row>
    <row r="838" spans="1:45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12"/>
      <c r="AK838" s="12"/>
      <c r="AL838" s="6"/>
      <c r="AM838" s="6"/>
      <c r="AN838" s="6"/>
      <c r="AO838" s="6"/>
      <c r="AP838" s="6"/>
      <c r="AQ838" s="6"/>
      <c r="AR838" s="6"/>
      <c r="AS838" s="6"/>
    </row>
    <row r="839" spans="1:45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12"/>
      <c r="AK839" s="12"/>
      <c r="AL839" s="6"/>
      <c r="AM839" s="6"/>
      <c r="AN839" s="6"/>
      <c r="AO839" s="6"/>
      <c r="AP839" s="6"/>
      <c r="AQ839" s="6"/>
      <c r="AR839" s="6"/>
      <c r="AS839" s="6"/>
    </row>
    <row r="840" spans="1:45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12"/>
      <c r="AK840" s="12"/>
      <c r="AL840" s="6"/>
      <c r="AM840" s="6"/>
      <c r="AN840" s="6"/>
      <c r="AO840" s="6"/>
      <c r="AP840" s="6"/>
      <c r="AQ840" s="6"/>
      <c r="AR840" s="6"/>
      <c r="AS840" s="6"/>
    </row>
    <row r="841" spans="1:45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12"/>
      <c r="AK841" s="12"/>
      <c r="AL841" s="6"/>
      <c r="AM841" s="6"/>
      <c r="AN841" s="6"/>
      <c r="AO841" s="6"/>
      <c r="AP841" s="6"/>
      <c r="AQ841" s="6"/>
      <c r="AR841" s="6"/>
      <c r="AS841" s="6"/>
    </row>
    <row r="842" spans="1:45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12"/>
      <c r="AK842" s="12"/>
      <c r="AL842" s="6"/>
      <c r="AM842" s="6"/>
      <c r="AN842" s="6"/>
      <c r="AO842" s="6"/>
      <c r="AP842" s="6"/>
      <c r="AQ842" s="6"/>
      <c r="AR842" s="6"/>
      <c r="AS842" s="6"/>
    </row>
    <row r="843" spans="1:45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12"/>
      <c r="AK843" s="12"/>
      <c r="AL843" s="6"/>
      <c r="AM843" s="6"/>
      <c r="AN843" s="6"/>
      <c r="AO843" s="6"/>
      <c r="AP843" s="6"/>
      <c r="AQ843" s="6"/>
      <c r="AR843" s="6"/>
      <c r="AS843" s="6"/>
    </row>
    <row r="844" spans="1:45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12"/>
      <c r="AK844" s="12"/>
      <c r="AL844" s="6"/>
      <c r="AM844" s="6"/>
      <c r="AN844" s="6"/>
      <c r="AO844" s="6"/>
      <c r="AP844" s="6"/>
      <c r="AQ844" s="6"/>
      <c r="AR844" s="6"/>
      <c r="AS844" s="6"/>
    </row>
    <row r="845" spans="1: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12"/>
      <c r="AK845" s="12"/>
      <c r="AL845" s="6"/>
      <c r="AM845" s="6"/>
      <c r="AN845" s="6"/>
      <c r="AO845" s="6"/>
      <c r="AP845" s="6"/>
      <c r="AQ845" s="6"/>
      <c r="AR845" s="6"/>
      <c r="AS845" s="6"/>
    </row>
    <row r="846" spans="1:45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12"/>
      <c r="AK846" s="12"/>
      <c r="AL846" s="6"/>
      <c r="AM846" s="6"/>
      <c r="AN846" s="6"/>
      <c r="AO846" s="6"/>
      <c r="AP846" s="6"/>
      <c r="AQ846" s="6"/>
      <c r="AR846" s="6"/>
      <c r="AS846" s="6"/>
    </row>
    <row r="847" spans="1:45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12"/>
      <c r="AK847" s="12"/>
      <c r="AL847" s="6"/>
      <c r="AM847" s="6"/>
      <c r="AN847" s="6"/>
      <c r="AO847" s="6"/>
      <c r="AP847" s="6"/>
      <c r="AQ847" s="6"/>
      <c r="AR847" s="6"/>
      <c r="AS847" s="6"/>
    </row>
    <row r="848" spans="1:45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12"/>
      <c r="AK848" s="12"/>
      <c r="AL848" s="6"/>
      <c r="AM848" s="6"/>
      <c r="AN848" s="6"/>
      <c r="AO848" s="6"/>
      <c r="AP848" s="6"/>
      <c r="AQ848" s="6"/>
      <c r="AR848" s="6"/>
      <c r="AS848" s="6"/>
    </row>
    <row r="849" spans="1:45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12"/>
      <c r="AK849" s="12"/>
      <c r="AL849" s="6"/>
      <c r="AM849" s="6"/>
      <c r="AN849" s="6"/>
      <c r="AO849" s="6"/>
      <c r="AP849" s="6"/>
      <c r="AQ849" s="6"/>
      <c r="AR849" s="6"/>
      <c r="AS849" s="6"/>
    </row>
    <row r="850" spans="1:45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12"/>
      <c r="AK850" s="12"/>
      <c r="AL850" s="6"/>
      <c r="AM850" s="6"/>
      <c r="AN850" s="6"/>
      <c r="AO850" s="6"/>
      <c r="AP850" s="6"/>
      <c r="AQ850" s="6"/>
      <c r="AR850" s="6"/>
      <c r="AS850" s="6"/>
    </row>
    <row r="851" spans="1:45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12"/>
      <c r="AK851" s="12"/>
      <c r="AL851" s="6"/>
      <c r="AM851" s="6"/>
      <c r="AN851" s="6"/>
      <c r="AO851" s="6"/>
      <c r="AP851" s="6"/>
      <c r="AQ851" s="6"/>
      <c r="AR851" s="6"/>
      <c r="AS851" s="6"/>
    </row>
    <row r="852" spans="1:45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12"/>
      <c r="AK852" s="12"/>
      <c r="AL852" s="6"/>
      <c r="AM852" s="6"/>
      <c r="AN852" s="6"/>
      <c r="AO852" s="6"/>
      <c r="AP852" s="6"/>
      <c r="AQ852" s="6"/>
      <c r="AR852" s="6"/>
      <c r="AS852" s="6"/>
    </row>
    <row r="853" spans="1:45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12"/>
      <c r="AK853" s="12"/>
      <c r="AL853" s="6"/>
      <c r="AM853" s="6"/>
      <c r="AN853" s="6"/>
      <c r="AO853" s="6"/>
      <c r="AP853" s="6"/>
      <c r="AQ853" s="6"/>
      <c r="AR853" s="6"/>
      <c r="AS853" s="6"/>
    </row>
    <row r="854" spans="1:45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12"/>
      <c r="AK854" s="12"/>
      <c r="AL854" s="6"/>
      <c r="AM854" s="6"/>
      <c r="AN854" s="6"/>
      <c r="AO854" s="6"/>
      <c r="AP854" s="6"/>
      <c r="AQ854" s="6"/>
      <c r="AR854" s="6"/>
      <c r="AS854" s="6"/>
    </row>
    <row r="855" spans="1:4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12"/>
      <c r="AK855" s="12"/>
      <c r="AL855" s="6"/>
      <c r="AM855" s="6"/>
      <c r="AN855" s="6"/>
      <c r="AO855" s="6"/>
      <c r="AP855" s="6"/>
      <c r="AQ855" s="6"/>
      <c r="AR855" s="6"/>
      <c r="AS855" s="6"/>
    </row>
    <row r="856" spans="1:45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12"/>
      <c r="AK856" s="12"/>
      <c r="AL856" s="6"/>
      <c r="AM856" s="6"/>
      <c r="AN856" s="6"/>
      <c r="AO856" s="6"/>
      <c r="AP856" s="6"/>
      <c r="AQ856" s="6"/>
      <c r="AR856" s="6"/>
      <c r="AS856" s="6"/>
    </row>
    <row r="857" spans="1:45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12"/>
      <c r="AK857" s="12"/>
      <c r="AL857" s="6"/>
      <c r="AM857" s="6"/>
      <c r="AN857" s="6"/>
      <c r="AO857" s="6"/>
      <c r="AP857" s="6"/>
      <c r="AQ857" s="6"/>
      <c r="AR857" s="6"/>
      <c r="AS857" s="6"/>
    </row>
    <row r="858" spans="1:45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12"/>
      <c r="AK858" s="12"/>
      <c r="AL858" s="6"/>
      <c r="AM858" s="6"/>
      <c r="AN858" s="6"/>
      <c r="AO858" s="6"/>
      <c r="AP858" s="6"/>
      <c r="AQ858" s="6"/>
      <c r="AR858" s="6"/>
      <c r="AS858" s="6"/>
    </row>
    <row r="859" spans="1:45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12"/>
      <c r="AK859" s="12"/>
      <c r="AL859" s="6"/>
      <c r="AM859" s="6"/>
      <c r="AN859" s="6"/>
      <c r="AO859" s="6"/>
      <c r="AP859" s="6"/>
      <c r="AQ859" s="6"/>
      <c r="AR859" s="6"/>
      <c r="AS859" s="6"/>
    </row>
    <row r="860" spans="1:45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12"/>
      <c r="AK860" s="12"/>
      <c r="AL860" s="6"/>
      <c r="AM860" s="6"/>
      <c r="AN860" s="6"/>
      <c r="AO860" s="6"/>
      <c r="AP860" s="6"/>
      <c r="AQ860" s="6"/>
      <c r="AR860" s="6"/>
      <c r="AS860" s="6"/>
    </row>
    <row r="861" spans="1:45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12"/>
      <c r="AK861" s="12"/>
      <c r="AL861" s="6"/>
      <c r="AM861" s="6"/>
      <c r="AN861" s="6"/>
      <c r="AO861" s="6"/>
      <c r="AP861" s="6"/>
      <c r="AQ861" s="6"/>
      <c r="AR861" s="6"/>
      <c r="AS861" s="6"/>
    </row>
    <row r="862" spans="1:45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12"/>
      <c r="AK862" s="12"/>
      <c r="AL862" s="6"/>
      <c r="AM862" s="6"/>
      <c r="AN862" s="6"/>
      <c r="AO862" s="6"/>
      <c r="AP862" s="6"/>
      <c r="AQ862" s="6"/>
      <c r="AR862" s="6"/>
      <c r="AS862" s="6"/>
    </row>
    <row r="863" spans="1:45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12"/>
      <c r="AK863" s="12"/>
      <c r="AL863" s="6"/>
      <c r="AM863" s="6"/>
      <c r="AN863" s="6"/>
      <c r="AO863" s="6"/>
      <c r="AP863" s="6"/>
      <c r="AQ863" s="6"/>
      <c r="AR863" s="6"/>
      <c r="AS863" s="6"/>
    </row>
    <row r="864" spans="1:45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12"/>
      <c r="AK864" s="12"/>
      <c r="AL864" s="6"/>
      <c r="AM864" s="6"/>
      <c r="AN864" s="6"/>
      <c r="AO864" s="6"/>
      <c r="AP864" s="6"/>
      <c r="AQ864" s="6"/>
      <c r="AR864" s="6"/>
      <c r="AS864" s="6"/>
    </row>
    <row r="865" spans="1:4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12"/>
      <c r="AK865" s="12"/>
      <c r="AL865" s="6"/>
      <c r="AM865" s="6"/>
      <c r="AN865" s="6"/>
      <c r="AO865" s="6"/>
      <c r="AP865" s="6"/>
      <c r="AQ865" s="6"/>
      <c r="AR865" s="6"/>
      <c r="AS865" s="6"/>
    </row>
    <row r="866" spans="1:45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12"/>
      <c r="AK866" s="12"/>
      <c r="AL866" s="6"/>
      <c r="AM866" s="6"/>
      <c r="AN866" s="6"/>
      <c r="AO866" s="6"/>
      <c r="AP866" s="6"/>
      <c r="AQ866" s="6"/>
      <c r="AR866" s="6"/>
      <c r="AS866" s="6"/>
    </row>
    <row r="867" spans="1:45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12"/>
      <c r="AK867" s="12"/>
      <c r="AL867" s="6"/>
      <c r="AM867" s="6"/>
      <c r="AN867" s="6"/>
      <c r="AO867" s="6"/>
      <c r="AP867" s="6"/>
      <c r="AQ867" s="6"/>
      <c r="AR867" s="6"/>
      <c r="AS867" s="6"/>
    </row>
    <row r="868" spans="1:45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12"/>
      <c r="AK868" s="12"/>
      <c r="AL868" s="6"/>
      <c r="AM868" s="6"/>
      <c r="AN868" s="6"/>
      <c r="AO868" s="6"/>
      <c r="AP868" s="6"/>
      <c r="AQ868" s="6"/>
      <c r="AR868" s="6"/>
      <c r="AS868" s="6"/>
    </row>
    <row r="869" spans="1:45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12"/>
      <c r="AK869" s="12"/>
      <c r="AL869" s="6"/>
      <c r="AM869" s="6"/>
      <c r="AN869" s="6"/>
      <c r="AO869" s="6"/>
      <c r="AP869" s="6"/>
      <c r="AQ869" s="6"/>
      <c r="AR869" s="6"/>
      <c r="AS869" s="6"/>
    </row>
    <row r="870" spans="1:45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12"/>
      <c r="AK870" s="12"/>
      <c r="AL870" s="6"/>
      <c r="AM870" s="6"/>
      <c r="AN870" s="6"/>
      <c r="AO870" s="6"/>
      <c r="AP870" s="6"/>
      <c r="AQ870" s="6"/>
      <c r="AR870" s="6"/>
      <c r="AS870" s="6"/>
    </row>
    <row r="871" spans="1:45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12"/>
      <c r="AK871" s="12"/>
      <c r="AL871" s="6"/>
      <c r="AM871" s="6"/>
      <c r="AN871" s="6"/>
      <c r="AO871" s="6"/>
      <c r="AP871" s="6"/>
      <c r="AQ871" s="6"/>
      <c r="AR871" s="6"/>
      <c r="AS871" s="6"/>
    </row>
    <row r="872" spans="1:45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12"/>
      <c r="AK872" s="12"/>
      <c r="AL872" s="6"/>
      <c r="AM872" s="6"/>
      <c r="AN872" s="6"/>
      <c r="AO872" s="6"/>
      <c r="AP872" s="6"/>
      <c r="AQ872" s="6"/>
      <c r="AR872" s="6"/>
      <c r="AS872" s="6"/>
    </row>
    <row r="873" spans="1:45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12"/>
      <c r="AK873" s="12"/>
      <c r="AL873" s="6"/>
      <c r="AM873" s="6"/>
      <c r="AN873" s="6"/>
      <c r="AO873" s="6"/>
      <c r="AP873" s="6"/>
      <c r="AQ873" s="6"/>
      <c r="AR873" s="6"/>
      <c r="AS873" s="6"/>
    </row>
    <row r="874" spans="1:45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12"/>
      <c r="AK874" s="12"/>
      <c r="AL874" s="6"/>
      <c r="AM874" s="6"/>
      <c r="AN874" s="6"/>
      <c r="AO874" s="6"/>
      <c r="AP874" s="6"/>
      <c r="AQ874" s="6"/>
      <c r="AR874" s="6"/>
      <c r="AS874" s="6"/>
    </row>
    <row r="875" spans="1:4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12"/>
      <c r="AK875" s="12"/>
      <c r="AL875" s="6"/>
      <c r="AM875" s="6"/>
      <c r="AN875" s="6"/>
      <c r="AO875" s="6"/>
      <c r="AP875" s="6"/>
      <c r="AQ875" s="6"/>
      <c r="AR875" s="6"/>
      <c r="AS875" s="6"/>
    </row>
    <row r="876" spans="1:45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12"/>
      <c r="AK876" s="12"/>
      <c r="AL876" s="6"/>
      <c r="AM876" s="6"/>
      <c r="AN876" s="6"/>
      <c r="AO876" s="6"/>
      <c r="AP876" s="6"/>
      <c r="AQ876" s="6"/>
      <c r="AR876" s="6"/>
      <c r="AS876" s="6"/>
    </row>
    <row r="877" spans="1:45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12"/>
      <c r="AK877" s="12"/>
      <c r="AL877" s="6"/>
      <c r="AM877" s="6"/>
      <c r="AN877" s="6"/>
      <c r="AO877" s="6"/>
      <c r="AP877" s="6"/>
      <c r="AQ877" s="6"/>
      <c r="AR877" s="6"/>
      <c r="AS877" s="6"/>
    </row>
    <row r="878" spans="1:45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12"/>
      <c r="AK878" s="12"/>
      <c r="AL878" s="6"/>
      <c r="AM878" s="6"/>
      <c r="AN878" s="6"/>
      <c r="AO878" s="6"/>
      <c r="AP878" s="6"/>
      <c r="AQ878" s="6"/>
      <c r="AR878" s="6"/>
      <c r="AS878" s="6"/>
    </row>
    <row r="879" spans="1:45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12"/>
      <c r="AK879" s="12"/>
      <c r="AL879" s="6"/>
      <c r="AM879" s="6"/>
      <c r="AN879" s="6"/>
      <c r="AO879" s="6"/>
      <c r="AP879" s="6"/>
      <c r="AQ879" s="6"/>
      <c r="AR879" s="6"/>
      <c r="AS879" s="6"/>
    </row>
    <row r="880" spans="1:45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12"/>
      <c r="AK880" s="12"/>
      <c r="AL880" s="6"/>
      <c r="AM880" s="6"/>
      <c r="AN880" s="6"/>
      <c r="AO880" s="6"/>
      <c r="AP880" s="6"/>
      <c r="AQ880" s="6"/>
      <c r="AR880" s="6"/>
      <c r="AS880" s="6"/>
    </row>
    <row r="881" spans="1:45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12"/>
      <c r="AK881" s="12"/>
      <c r="AL881" s="6"/>
      <c r="AM881" s="6"/>
      <c r="AN881" s="6"/>
      <c r="AO881" s="6"/>
      <c r="AP881" s="6"/>
      <c r="AQ881" s="6"/>
      <c r="AR881" s="6"/>
      <c r="AS881" s="6"/>
    </row>
    <row r="882" spans="1:45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12"/>
      <c r="AK882" s="12"/>
      <c r="AL882" s="6"/>
      <c r="AM882" s="6"/>
      <c r="AN882" s="6"/>
      <c r="AO882" s="6"/>
      <c r="AP882" s="6"/>
      <c r="AQ882" s="6"/>
      <c r="AR882" s="6"/>
      <c r="AS882" s="6"/>
    </row>
    <row r="883" spans="1:45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12"/>
      <c r="AK883" s="12"/>
      <c r="AL883" s="6"/>
      <c r="AM883" s="6"/>
      <c r="AN883" s="6"/>
      <c r="AO883" s="6"/>
      <c r="AP883" s="6"/>
      <c r="AQ883" s="6"/>
      <c r="AR883" s="6"/>
      <c r="AS883" s="6"/>
    </row>
    <row r="884" spans="1:45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12"/>
      <c r="AK884" s="12"/>
      <c r="AL884" s="6"/>
      <c r="AM884" s="6"/>
      <c r="AN884" s="6"/>
      <c r="AO884" s="6"/>
      <c r="AP884" s="6"/>
      <c r="AQ884" s="6"/>
      <c r="AR884" s="6"/>
      <c r="AS884" s="6"/>
    </row>
    <row r="885" spans="1:4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12"/>
      <c r="AK885" s="12"/>
      <c r="AL885" s="6"/>
      <c r="AM885" s="6"/>
      <c r="AN885" s="6"/>
      <c r="AO885" s="6"/>
      <c r="AP885" s="6"/>
      <c r="AQ885" s="6"/>
      <c r="AR885" s="6"/>
      <c r="AS885" s="6"/>
    </row>
    <row r="886" spans="1:45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12"/>
      <c r="AK886" s="12"/>
      <c r="AL886" s="6"/>
      <c r="AM886" s="6"/>
      <c r="AN886" s="6"/>
      <c r="AO886" s="6"/>
      <c r="AP886" s="6"/>
      <c r="AQ886" s="6"/>
      <c r="AR886" s="6"/>
      <c r="AS886" s="6"/>
    </row>
    <row r="887" spans="1:45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12"/>
      <c r="AK887" s="12"/>
      <c r="AL887" s="6"/>
      <c r="AM887" s="6"/>
      <c r="AN887" s="6"/>
      <c r="AO887" s="6"/>
      <c r="AP887" s="6"/>
      <c r="AQ887" s="6"/>
      <c r="AR887" s="6"/>
      <c r="AS887" s="6"/>
    </row>
    <row r="888" spans="1:45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12"/>
      <c r="AK888" s="12"/>
      <c r="AL888" s="6"/>
      <c r="AM888" s="6"/>
      <c r="AN888" s="6"/>
      <c r="AO888" s="6"/>
      <c r="AP888" s="6"/>
      <c r="AQ888" s="6"/>
      <c r="AR888" s="6"/>
      <c r="AS888" s="6"/>
    </row>
    <row r="889" spans="1:45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12"/>
      <c r="AK889" s="12"/>
      <c r="AL889" s="6"/>
      <c r="AM889" s="6"/>
      <c r="AN889" s="6"/>
      <c r="AO889" s="6"/>
      <c r="AP889" s="6"/>
      <c r="AQ889" s="6"/>
      <c r="AR889" s="6"/>
      <c r="AS889" s="6"/>
    </row>
    <row r="890" spans="1:45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12"/>
      <c r="AK890" s="12"/>
      <c r="AL890" s="6"/>
      <c r="AM890" s="6"/>
      <c r="AN890" s="6"/>
      <c r="AO890" s="6"/>
      <c r="AP890" s="6"/>
      <c r="AQ890" s="6"/>
      <c r="AR890" s="6"/>
      <c r="AS890" s="6"/>
    </row>
    <row r="891" spans="1:45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12"/>
      <c r="AK891" s="12"/>
      <c r="AL891" s="6"/>
      <c r="AM891" s="6"/>
      <c r="AN891" s="6"/>
      <c r="AO891" s="6"/>
      <c r="AP891" s="6"/>
      <c r="AQ891" s="6"/>
      <c r="AR891" s="6"/>
      <c r="AS891" s="6"/>
    </row>
    <row r="892" spans="1:45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12"/>
      <c r="AK892" s="12"/>
      <c r="AL892" s="6"/>
      <c r="AM892" s="6"/>
      <c r="AN892" s="6"/>
      <c r="AO892" s="6"/>
      <c r="AP892" s="6"/>
      <c r="AQ892" s="6"/>
      <c r="AR892" s="6"/>
      <c r="AS892" s="6"/>
    </row>
    <row r="893" spans="1:45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12"/>
      <c r="AK893" s="12"/>
      <c r="AL893" s="6"/>
      <c r="AM893" s="6"/>
      <c r="AN893" s="6"/>
      <c r="AO893" s="6"/>
      <c r="AP893" s="6"/>
      <c r="AQ893" s="6"/>
      <c r="AR893" s="6"/>
      <c r="AS893" s="6"/>
    </row>
    <row r="894" spans="1:45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12"/>
      <c r="AK894" s="12"/>
      <c r="AL894" s="6"/>
      <c r="AM894" s="6"/>
      <c r="AN894" s="6"/>
      <c r="AO894" s="6"/>
      <c r="AP894" s="6"/>
      <c r="AQ894" s="6"/>
      <c r="AR894" s="6"/>
      <c r="AS894" s="6"/>
    </row>
    <row r="895" spans="1:4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12"/>
      <c r="AK895" s="12"/>
      <c r="AL895" s="6"/>
      <c r="AM895" s="6"/>
      <c r="AN895" s="6"/>
      <c r="AO895" s="6"/>
      <c r="AP895" s="6"/>
      <c r="AQ895" s="6"/>
      <c r="AR895" s="6"/>
      <c r="AS895" s="6"/>
    </row>
    <row r="896" spans="1:45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12"/>
      <c r="AK896" s="12"/>
      <c r="AL896" s="6"/>
      <c r="AM896" s="6"/>
      <c r="AN896" s="6"/>
      <c r="AO896" s="6"/>
      <c r="AP896" s="6"/>
      <c r="AQ896" s="6"/>
      <c r="AR896" s="6"/>
      <c r="AS896" s="6"/>
    </row>
    <row r="897" spans="1:45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12"/>
      <c r="AK897" s="12"/>
      <c r="AL897" s="6"/>
      <c r="AM897" s="6"/>
      <c r="AN897" s="6"/>
      <c r="AO897" s="6"/>
      <c r="AP897" s="6"/>
      <c r="AQ897" s="6"/>
      <c r="AR897" s="6"/>
      <c r="AS897" s="6"/>
    </row>
    <row r="898" spans="1:45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12"/>
      <c r="AK898" s="12"/>
      <c r="AL898" s="6"/>
      <c r="AM898" s="6"/>
      <c r="AN898" s="6"/>
      <c r="AO898" s="6"/>
      <c r="AP898" s="6"/>
      <c r="AQ898" s="6"/>
      <c r="AR898" s="6"/>
      <c r="AS898" s="6"/>
    </row>
    <row r="899" spans="1:45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12"/>
      <c r="AK899" s="12"/>
      <c r="AL899" s="6"/>
      <c r="AM899" s="6"/>
      <c r="AN899" s="6"/>
      <c r="AO899" s="6"/>
      <c r="AP899" s="6"/>
      <c r="AQ899" s="6"/>
      <c r="AR899" s="6"/>
      <c r="AS899" s="6"/>
    </row>
    <row r="900" spans="1:45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12"/>
      <c r="AK900" s="12"/>
      <c r="AL900" s="6"/>
      <c r="AM900" s="6"/>
      <c r="AN900" s="6"/>
      <c r="AO900" s="6"/>
      <c r="AP900" s="6"/>
      <c r="AQ900" s="6"/>
      <c r="AR900" s="6"/>
      <c r="AS900" s="6"/>
    </row>
    <row r="901" spans="1:45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12"/>
      <c r="AK901" s="12"/>
      <c r="AL901" s="6"/>
      <c r="AM901" s="6"/>
      <c r="AN901" s="6"/>
      <c r="AO901" s="6"/>
      <c r="AP901" s="6"/>
      <c r="AQ901" s="6"/>
      <c r="AR901" s="6"/>
      <c r="AS901" s="6"/>
    </row>
    <row r="902" spans="1:45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12"/>
      <c r="AK902" s="12"/>
      <c r="AL902" s="6"/>
      <c r="AM902" s="6"/>
      <c r="AN902" s="6"/>
      <c r="AO902" s="6"/>
      <c r="AP902" s="6"/>
      <c r="AQ902" s="6"/>
      <c r="AR902" s="6"/>
      <c r="AS902" s="6"/>
    </row>
    <row r="903" spans="1:45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12"/>
      <c r="AK903" s="12"/>
      <c r="AL903" s="6"/>
      <c r="AM903" s="6"/>
      <c r="AN903" s="6"/>
      <c r="AO903" s="6"/>
      <c r="AP903" s="6"/>
      <c r="AQ903" s="6"/>
      <c r="AR903" s="6"/>
      <c r="AS903" s="6"/>
    </row>
    <row r="904" spans="1:45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12"/>
      <c r="AK904" s="12"/>
      <c r="AL904" s="6"/>
      <c r="AM904" s="6"/>
      <c r="AN904" s="6"/>
      <c r="AO904" s="6"/>
      <c r="AP904" s="6"/>
      <c r="AQ904" s="6"/>
      <c r="AR904" s="6"/>
      <c r="AS904" s="6"/>
    </row>
    <row r="905" spans="1:4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12"/>
      <c r="AK905" s="12"/>
      <c r="AL905" s="6"/>
      <c r="AM905" s="6"/>
      <c r="AN905" s="6"/>
      <c r="AO905" s="6"/>
      <c r="AP905" s="6"/>
      <c r="AQ905" s="6"/>
      <c r="AR905" s="6"/>
      <c r="AS905" s="6"/>
    </row>
    <row r="906" spans="1:45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12"/>
      <c r="AK906" s="12"/>
      <c r="AL906" s="6"/>
      <c r="AM906" s="6"/>
      <c r="AN906" s="6"/>
      <c r="AO906" s="6"/>
      <c r="AP906" s="6"/>
      <c r="AQ906" s="6"/>
      <c r="AR906" s="6"/>
      <c r="AS906" s="6"/>
    </row>
    <row r="907" spans="1:45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12"/>
      <c r="AK907" s="12"/>
      <c r="AL907" s="6"/>
      <c r="AM907" s="6"/>
      <c r="AN907" s="6"/>
      <c r="AO907" s="6"/>
      <c r="AP907" s="6"/>
      <c r="AQ907" s="6"/>
      <c r="AR907" s="6"/>
      <c r="AS907" s="6"/>
    </row>
    <row r="908" spans="1:45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12"/>
      <c r="AK908" s="12"/>
      <c r="AL908" s="6"/>
      <c r="AM908" s="6"/>
      <c r="AN908" s="6"/>
      <c r="AO908" s="6"/>
      <c r="AP908" s="6"/>
      <c r="AQ908" s="6"/>
      <c r="AR908" s="6"/>
      <c r="AS908" s="6"/>
    </row>
    <row r="909" spans="1:45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12"/>
      <c r="AK909" s="12"/>
      <c r="AL909" s="6"/>
      <c r="AM909" s="6"/>
      <c r="AN909" s="6"/>
      <c r="AO909" s="6"/>
      <c r="AP909" s="6"/>
      <c r="AQ909" s="6"/>
      <c r="AR909" s="6"/>
      <c r="AS909" s="6"/>
    </row>
    <row r="910" spans="1:45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12"/>
      <c r="AK910" s="12"/>
      <c r="AL910" s="6"/>
      <c r="AM910" s="6"/>
      <c r="AN910" s="6"/>
      <c r="AO910" s="6"/>
      <c r="AP910" s="6"/>
      <c r="AQ910" s="6"/>
      <c r="AR910" s="6"/>
      <c r="AS910" s="6"/>
    </row>
    <row r="911" spans="1:45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12"/>
      <c r="AK911" s="12"/>
      <c r="AL911" s="6"/>
      <c r="AM911" s="6"/>
      <c r="AN911" s="6"/>
      <c r="AO911" s="6"/>
      <c r="AP911" s="6"/>
      <c r="AQ911" s="6"/>
      <c r="AR911" s="6"/>
      <c r="AS911" s="6"/>
    </row>
    <row r="912" spans="1:45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12"/>
      <c r="AK912" s="12"/>
      <c r="AL912" s="6"/>
      <c r="AM912" s="6"/>
      <c r="AN912" s="6"/>
      <c r="AO912" s="6"/>
      <c r="AP912" s="6"/>
      <c r="AQ912" s="6"/>
      <c r="AR912" s="6"/>
      <c r="AS912" s="6"/>
    </row>
    <row r="913" spans="1:45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12"/>
      <c r="AK913" s="12"/>
      <c r="AL913" s="6"/>
      <c r="AM913" s="6"/>
      <c r="AN913" s="6"/>
      <c r="AO913" s="6"/>
      <c r="AP913" s="6"/>
      <c r="AQ913" s="6"/>
      <c r="AR913" s="6"/>
      <c r="AS913" s="6"/>
    </row>
    <row r="914" spans="1:45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12"/>
      <c r="AK914" s="12"/>
      <c r="AL914" s="6"/>
      <c r="AM914" s="6"/>
      <c r="AN914" s="6"/>
      <c r="AO914" s="6"/>
      <c r="AP914" s="6"/>
      <c r="AQ914" s="6"/>
      <c r="AR914" s="6"/>
      <c r="AS914" s="6"/>
    </row>
    <row r="915" spans="1:4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12"/>
      <c r="AK915" s="12"/>
      <c r="AL915" s="6"/>
      <c r="AM915" s="6"/>
      <c r="AN915" s="6"/>
      <c r="AO915" s="6"/>
      <c r="AP915" s="6"/>
      <c r="AQ915" s="6"/>
      <c r="AR915" s="6"/>
      <c r="AS915" s="6"/>
    </row>
    <row r="916" spans="1:45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12"/>
      <c r="AK916" s="12"/>
      <c r="AL916" s="6"/>
      <c r="AM916" s="6"/>
      <c r="AN916" s="6"/>
      <c r="AO916" s="6"/>
      <c r="AP916" s="6"/>
      <c r="AQ916" s="6"/>
      <c r="AR916" s="6"/>
      <c r="AS916" s="6"/>
    </row>
    <row r="917" spans="1:45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12"/>
      <c r="AK917" s="12"/>
      <c r="AL917" s="6"/>
      <c r="AM917" s="6"/>
      <c r="AN917" s="6"/>
      <c r="AO917" s="6"/>
      <c r="AP917" s="6"/>
      <c r="AQ917" s="6"/>
      <c r="AR917" s="6"/>
      <c r="AS917" s="6"/>
    </row>
    <row r="918" spans="1:45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12"/>
      <c r="AK918" s="12"/>
      <c r="AL918" s="6"/>
      <c r="AM918" s="6"/>
      <c r="AN918" s="6"/>
      <c r="AO918" s="6"/>
      <c r="AP918" s="6"/>
      <c r="AQ918" s="6"/>
      <c r="AR918" s="6"/>
      <c r="AS918" s="6"/>
    </row>
    <row r="919" spans="1:45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12"/>
      <c r="AK919" s="12"/>
      <c r="AL919" s="6"/>
      <c r="AM919" s="6"/>
      <c r="AN919" s="6"/>
      <c r="AO919" s="6"/>
      <c r="AP919" s="6"/>
      <c r="AQ919" s="6"/>
      <c r="AR919" s="6"/>
      <c r="AS919" s="6"/>
    </row>
    <row r="920" spans="1:45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12"/>
      <c r="AK920" s="12"/>
      <c r="AL920" s="6"/>
      <c r="AM920" s="6"/>
      <c r="AN920" s="6"/>
      <c r="AO920" s="6"/>
      <c r="AP920" s="6"/>
      <c r="AQ920" s="6"/>
      <c r="AR920" s="6"/>
      <c r="AS920" s="6"/>
    </row>
    <row r="921" spans="1:45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12"/>
      <c r="AK921" s="12"/>
      <c r="AL921" s="6"/>
      <c r="AM921" s="6"/>
      <c r="AN921" s="6"/>
      <c r="AO921" s="6"/>
      <c r="AP921" s="6"/>
      <c r="AQ921" s="6"/>
      <c r="AR921" s="6"/>
      <c r="AS921" s="6"/>
    </row>
    <row r="922" spans="1:45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12"/>
      <c r="AK922" s="12"/>
      <c r="AL922" s="6"/>
      <c r="AM922" s="6"/>
      <c r="AN922" s="6"/>
      <c r="AO922" s="6"/>
      <c r="AP922" s="6"/>
      <c r="AQ922" s="6"/>
      <c r="AR922" s="6"/>
      <c r="AS922" s="6"/>
    </row>
    <row r="923" spans="1:45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12"/>
      <c r="AK923" s="12"/>
      <c r="AL923" s="6"/>
      <c r="AM923" s="6"/>
      <c r="AN923" s="6"/>
      <c r="AO923" s="6"/>
      <c r="AP923" s="6"/>
      <c r="AQ923" s="6"/>
      <c r="AR923" s="6"/>
      <c r="AS923" s="6"/>
    </row>
    <row r="924" spans="1:45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12"/>
      <c r="AK924" s="12"/>
      <c r="AL924" s="6"/>
      <c r="AM924" s="6"/>
      <c r="AN924" s="6"/>
      <c r="AO924" s="6"/>
      <c r="AP924" s="6"/>
      <c r="AQ924" s="6"/>
      <c r="AR924" s="6"/>
      <c r="AS924" s="6"/>
    </row>
    <row r="925" spans="1:4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12"/>
      <c r="AK925" s="12"/>
      <c r="AL925" s="6"/>
      <c r="AM925" s="6"/>
      <c r="AN925" s="6"/>
      <c r="AO925" s="6"/>
      <c r="AP925" s="6"/>
      <c r="AQ925" s="6"/>
      <c r="AR925" s="6"/>
      <c r="AS925" s="6"/>
    </row>
    <row r="926" spans="1:45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12"/>
      <c r="AK926" s="12"/>
      <c r="AL926" s="6"/>
      <c r="AM926" s="6"/>
      <c r="AN926" s="6"/>
      <c r="AO926" s="6"/>
      <c r="AP926" s="6"/>
      <c r="AQ926" s="6"/>
      <c r="AR926" s="6"/>
      <c r="AS926" s="6"/>
    </row>
    <row r="927" spans="1:45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12"/>
      <c r="AK927" s="12"/>
      <c r="AL927" s="6"/>
      <c r="AM927" s="6"/>
      <c r="AN927" s="6"/>
      <c r="AO927" s="6"/>
      <c r="AP927" s="6"/>
      <c r="AQ927" s="6"/>
      <c r="AR927" s="6"/>
      <c r="AS927" s="6"/>
    </row>
    <row r="928" spans="1:45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12"/>
      <c r="AK928" s="12"/>
      <c r="AL928" s="6"/>
      <c r="AM928" s="6"/>
      <c r="AN928" s="6"/>
      <c r="AO928" s="6"/>
      <c r="AP928" s="6"/>
      <c r="AQ928" s="6"/>
      <c r="AR928" s="6"/>
      <c r="AS928" s="6"/>
    </row>
    <row r="929" spans="1:45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12"/>
      <c r="AK929" s="12"/>
      <c r="AL929" s="6"/>
      <c r="AM929" s="6"/>
      <c r="AN929" s="6"/>
      <c r="AO929" s="6"/>
      <c r="AP929" s="6"/>
      <c r="AQ929" s="6"/>
      <c r="AR929" s="6"/>
      <c r="AS929" s="6"/>
    </row>
    <row r="930" spans="1:45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12"/>
      <c r="AK930" s="12"/>
      <c r="AL930" s="6"/>
      <c r="AM930" s="6"/>
      <c r="AN930" s="6"/>
      <c r="AO930" s="6"/>
      <c r="AP930" s="6"/>
      <c r="AQ930" s="6"/>
      <c r="AR930" s="6"/>
      <c r="AS930" s="6"/>
    </row>
    <row r="931" spans="1:45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12"/>
      <c r="AK931" s="12"/>
      <c r="AL931" s="6"/>
      <c r="AM931" s="6"/>
      <c r="AN931" s="6"/>
      <c r="AO931" s="6"/>
      <c r="AP931" s="6"/>
      <c r="AQ931" s="6"/>
      <c r="AR931" s="6"/>
      <c r="AS931" s="6"/>
    </row>
    <row r="932" spans="1:45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12"/>
      <c r="AK932" s="12"/>
      <c r="AL932" s="6"/>
      <c r="AM932" s="6"/>
      <c r="AN932" s="6"/>
      <c r="AO932" s="6"/>
      <c r="AP932" s="6"/>
      <c r="AQ932" s="6"/>
      <c r="AR932" s="6"/>
      <c r="AS932" s="6"/>
    </row>
    <row r="933" spans="1:45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12"/>
      <c r="AK933" s="12"/>
      <c r="AL933" s="6"/>
      <c r="AM933" s="6"/>
      <c r="AN933" s="6"/>
      <c r="AO933" s="6"/>
      <c r="AP933" s="6"/>
      <c r="AQ933" s="6"/>
      <c r="AR933" s="6"/>
      <c r="AS933" s="6"/>
    </row>
    <row r="934" spans="1:45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12"/>
      <c r="AK934" s="12"/>
      <c r="AL934" s="6"/>
      <c r="AM934" s="6"/>
      <c r="AN934" s="6"/>
      <c r="AO934" s="6"/>
      <c r="AP934" s="6"/>
      <c r="AQ934" s="6"/>
      <c r="AR934" s="6"/>
      <c r="AS934" s="6"/>
    </row>
    <row r="935" spans="1:4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12"/>
      <c r="AK935" s="12"/>
      <c r="AL935" s="6"/>
      <c r="AM935" s="6"/>
      <c r="AN935" s="6"/>
      <c r="AO935" s="6"/>
      <c r="AP935" s="6"/>
      <c r="AQ935" s="6"/>
      <c r="AR935" s="6"/>
      <c r="AS935" s="6"/>
    </row>
    <row r="936" spans="1:45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12"/>
      <c r="AK936" s="12"/>
      <c r="AL936" s="6"/>
      <c r="AM936" s="6"/>
      <c r="AN936" s="6"/>
      <c r="AO936" s="6"/>
      <c r="AP936" s="6"/>
      <c r="AQ936" s="6"/>
      <c r="AR936" s="6"/>
      <c r="AS936" s="6"/>
    </row>
    <row r="937" spans="1:45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12"/>
      <c r="AK937" s="12"/>
      <c r="AL937" s="6"/>
      <c r="AM937" s="6"/>
      <c r="AN937" s="6"/>
      <c r="AO937" s="6"/>
      <c r="AP937" s="6"/>
      <c r="AQ937" s="6"/>
      <c r="AR937" s="6"/>
      <c r="AS937" s="6"/>
    </row>
    <row r="938" spans="1:45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12"/>
      <c r="AK938" s="12"/>
      <c r="AL938" s="6"/>
      <c r="AM938" s="6"/>
      <c r="AN938" s="6"/>
      <c r="AO938" s="6"/>
      <c r="AP938" s="6"/>
      <c r="AQ938" s="6"/>
      <c r="AR938" s="6"/>
      <c r="AS938" s="6"/>
    </row>
    <row r="939" spans="1:45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12"/>
      <c r="AK939" s="12"/>
      <c r="AL939" s="6"/>
      <c r="AM939" s="6"/>
      <c r="AN939" s="6"/>
      <c r="AO939" s="6"/>
      <c r="AP939" s="6"/>
      <c r="AQ939" s="6"/>
      <c r="AR939" s="6"/>
      <c r="AS939" s="6"/>
    </row>
    <row r="940" spans="1:45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12"/>
      <c r="AK940" s="12"/>
      <c r="AL940" s="6"/>
      <c r="AM940" s="6"/>
      <c r="AN940" s="6"/>
      <c r="AO940" s="6"/>
      <c r="AP940" s="6"/>
      <c r="AQ940" s="6"/>
      <c r="AR940" s="6"/>
      <c r="AS940" s="6"/>
    </row>
    <row r="941" spans="1:45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12"/>
      <c r="AK941" s="12"/>
      <c r="AL941" s="6"/>
      <c r="AM941" s="6"/>
      <c r="AN941" s="6"/>
      <c r="AO941" s="6"/>
      <c r="AP941" s="6"/>
      <c r="AQ941" s="6"/>
      <c r="AR941" s="6"/>
      <c r="AS941" s="6"/>
    </row>
    <row r="942" spans="1:45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12"/>
      <c r="AK942" s="12"/>
      <c r="AL942" s="6"/>
      <c r="AM942" s="6"/>
      <c r="AN942" s="6"/>
      <c r="AO942" s="6"/>
      <c r="AP942" s="6"/>
      <c r="AQ942" s="6"/>
      <c r="AR942" s="6"/>
      <c r="AS942" s="6"/>
    </row>
    <row r="943" spans="1:45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12"/>
      <c r="AK943" s="12"/>
      <c r="AL943" s="6"/>
      <c r="AM943" s="6"/>
      <c r="AN943" s="6"/>
      <c r="AO943" s="6"/>
      <c r="AP943" s="6"/>
      <c r="AQ943" s="6"/>
      <c r="AR943" s="6"/>
      <c r="AS943" s="6"/>
    </row>
    <row r="944" spans="1:45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12"/>
      <c r="AK944" s="12"/>
      <c r="AL944" s="6"/>
      <c r="AM944" s="6"/>
      <c r="AN944" s="6"/>
      <c r="AO944" s="6"/>
      <c r="AP944" s="6"/>
      <c r="AQ944" s="6"/>
      <c r="AR944" s="6"/>
      <c r="AS944" s="6"/>
    </row>
    <row r="945" spans="1: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12"/>
      <c r="AK945" s="12"/>
      <c r="AL945" s="6"/>
      <c r="AM945" s="6"/>
      <c r="AN945" s="6"/>
      <c r="AO945" s="6"/>
      <c r="AP945" s="6"/>
      <c r="AQ945" s="6"/>
      <c r="AR945" s="6"/>
      <c r="AS945" s="6"/>
    </row>
    <row r="946" spans="1:45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12"/>
      <c r="AK946" s="12"/>
      <c r="AL946" s="6"/>
      <c r="AM946" s="6"/>
      <c r="AN946" s="6"/>
      <c r="AO946" s="6"/>
      <c r="AP946" s="6"/>
      <c r="AQ946" s="6"/>
      <c r="AR946" s="6"/>
      <c r="AS946" s="6"/>
    </row>
    <row r="947" spans="1:45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12"/>
      <c r="AK947" s="12"/>
      <c r="AL947" s="6"/>
      <c r="AM947" s="6"/>
      <c r="AN947" s="6"/>
      <c r="AO947" s="6"/>
      <c r="AP947" s="6"/>
      <c r="AQ947" s="6"/>
      <c r="AR947" s="6"/>
      <c r="AS947" s="6"/>
    </row>
    <row r="948" spans="1:45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12"/>
      <c r="AK948" s="12"/>
      <c r="AL948" s="6"/>
      <c r="AM948" s="6"/>
      <c r="AN948" s="6"/>
      <c r="AO948" s="6"/>
      <c r="AP948" s="6"/>
      <c r="AQ948" s="6"/>
      <c r="AR948" s="6"/>
      <c r="AS948" s="6"/>
    </row>
    <row r="949" spans="1:45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12"/>
      <c r="AK949" s="12"/>
      <c r="AL949" s="6"/>
      <c r="AM949" s="6"/>
      <c r="AN949" s="6"/>
      <c r="AO949" s="6"/>
      <c r="AP949" s="6"/>
      <c r="AQ949" s="6"/>
      <c r="AR949" s="6"/>
      <c r="AS949" s="6"/>
    </row>
    <row r="950" spans="1:45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12"/>
      <c r="AK950" s="12"/>
      <c r="AL950" s="6"/>
      <c r="AM950" s="6"/>
      <c r="AN950" s="6"/>
      <c r="AO950" s="6"/>
      <c r="AP950" s="6"/>
      <c r="AQ950" s="6"/>
      <c r="AR950" s="6"/>
      <c r="AS950" s="6"/>
    </row>
    <row r="951" spans="1:45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12"/>
      <c r="AK951" s="12"/>
      <c r="AL951" s="6"/>
      <c r="AM951" s="6"/>
      <c r="AN951" s="6"/>
      <c r="AO951" s="6"/>
      <c r="AP951" s="6"/>
      <c r="AQ951" s="6"/>
      <c r="AR951" s="6"/>
      <c r="AS951" s="6"/>
    </row>
    <row r="952" spans="1:45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12"/>
      <c r="AK952" s="12"/>
      <c r="AL952" s="6"/>
      <c r="AM952" s="6"/>
      <c r="AN952" s="6"/>
      <c r="AO952" s="6"/>
      <c r="AP952" s="6"/>
      <c r="AQ952" s="6"/>
      <c r="AR952" s="6"/>
      <c r="AS952" s="6"/>
    </row>
    <row r="953" spans="1:45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12"/>
      <c r="AK953" s="12"/>
      <c r="AL953" s="6"/>
      <c r="AM953" s="6"/>
      <c r="AN953" s="6"/>
      <c r="AO953" s="6"/>
      <c r="AP953" s="6"/>
      <c r="AQ953" s="6"/>
      <c r="AR953" s="6"/>
      <c r="AS953" s="6"/>
    </row>
    <row r="954" spans="1:45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12"/>
      <c r="AK954" s="12"/>
      <c r="AL954" s="6"/>
      <c r="AM954" s="6"/>
      <c r="AN954" s="6"/>
      <c r="AO954" s="6"/>
      <c r="AP954" s="6"/>
      <c r="AQ954" s="6"/>
      <c r="AR954" s="6"/>
      <c r="AS954" s="6"/>
    </row>
    <row r="955" spans="1:4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12"/>
      <c r="AK955" s="12"/>
      <c r="AL955" s="6"/>
      <c r="AM955" s="6"/>
      <c r="AN955" s="6"/>
      <c r="AO955" s="6"/>
      <c r="AP955" s="6"/>
      <c r="AQ955" s="6"/>
      <c r="AR955" s="6"/>
      <c r="AS955" s="6"/>
    </row>
    <row r="956" spans="1:45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12"/>
      <c r="AK956" s="12"/>
      <c r="AL956" s="6"/>
      <c r="AM956" s="6"/>
      <c r="AN956" s="6"/>
      <c r="AO956" s="6"/>
      <c r="AP956" s="6"/>
      <c r="AQ956" s="6"/>
      <c r="AR956" s="6"/>
      <c r="AS956" s="6"/>
    </row>
    <row r="957" spans="1:45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12"/>
      <c r="AK957" s="12"/>
      <c r="AL957" s="6"/>
      <c r="AM957" s="6"/>
      <c r="AN957" s="6"/>
      <c r="AO957" s="6"/>
      <c r="AP957" s="6"/>
      <c r="AQ957" s="6"/>
      <c r="AR957" s="6"/>
      <c r="AS957" s="6"/>
    </row>
    <row r="958" spans="1:45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12"/>
      <c r="AK958" s="12"/>
      <c r="AL958" s="6"/>
      <c r="AM958" s="6"/>
      <c r="AN958" s="6"/>
      <c r="AO958" s="6"/>
      <c r="AP958" s="6"/>
      <c r="AQ958" s="6"/>
      <c r="AR958" s="6"/>
      <c r="AS958" s="6"/>
    </row>
    <row r="959" spans="1:45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12"/>
      <c r="AK959" s="12"/>
      <c r="AL959" s="6"/>
      <c r="AM959" s="6"/>
      <c r="AN959" s="6"/>
      <c r="AO959" s="6"/>
      <c r="AP959" s="6"/>
      <c r="AQ959" s="6"/>
      <c r="AR959" s="6"/>
      <c r="AS959" s="6"/>
    </row>
    <row r="960" spans="1:45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12"/>
      <c r="AK960" s="12"/>
      <c r="AL960" s="6"/>
      <c r="AM960" s="6"/>
      <c r="AN960" s="6"/>
      <c r="AO960" s="6"/>
      <c r="AP960" s="6"/>
      <c r="AQ960" s="6"/>
      <c r="AR960" s="6"/>
      <c r="AS960" s="6"/>
    </row>
    <row r="961" spans="1:45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12"/>
      <c r="AK961" s="12"/>
      <c r="AL961" s="6"/>
      <c r="AM961" s="6"/>
      <c r="AN961" s="6"/>
      <c r="AO961" s="6"/>
      <c r="AP961" s="6"/>
      <c r="AQ961" s="6"/>
      <c r="AR961" s="6"/>
      <c r="AS961" s="6"/>
    </row>
    <row r="962" spans="1:45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12"/>
      <c r="AK962" s="12"/>
      <c r="AL962" s="6"/>
      <c r="AM962" s="6"/>
      <c r="AN962" s="6"/>
      <c r="AO962" s="6"/>
      <c r="AP962" s="6"/>
      <c r="AQ962" s="6"/>
      <c r="AR962" s="6"/>
      <c r="AS962" s="6"/>
    </row>
    <row r="963" spans="1:45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12"/>
      <c r="AK963" s="12"/>
      <c r="AL963" s="6"/>
      <c r="AM963" s="6"/>
      <c r="AN963" s="6"/>
      <c r="AO963" s="6"/>
      <c r="AP963" s="6"/>
      <c r="AQ963" s="6"/>
      <c r="AR963" s="6"/>
      <c r="AS963" s="6"/>
    </row>
    <row r="964" spans="1:45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12"/>
      <c r="AK964" s="12"/>
      <c r="AL964" s="6"/>
      <c r="AM964" s="6"/>
      <c r="AN964" s="6"/>
      <c r="AO964" s="6"/>
      <c r="AP964" s="6"/>
      <c r="AQ964" s="6"/>
      <c r="AR964" s="6"/>
      <c r="AS964" s="6"/>
    </row>
    <row r="965" spans="1:4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12"/>
      <c r="AK965" s="12"/>
      <c r="AL965" s="6"/>
      <c r="AM965" s="6"/>
      <c r="AN965" s="6"/>
      <c r="AO965" s="6"/>
      <c r="AP965" s="6"/>
      <c r="AQ965" s="6"/>
      <c r="AR965" s="6"/>
      <c r="AS965" s="6"/>
    </row>
    <row r="966" spans="1:45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12"/>
      <c r="AK966" s="12"/>
      <c r="AL966" s="6"/>
      <c r="AM966" s="6"/>
      <c r="AN966" s="6"/>
      <c r="AO966" s="6"/>
      <c r="AP966" s="6"/>
      <c r="AQ966" s="6"/>
      <c r="AR966" s="6"/>
      <c r="AS966" s="6"/>
    </row>
  </sheetData>
  <mergeCells count="88">
    <mergeCell ref="T9:T10"/>
    <mergeCell ref="AB9:AB10"/>
    <mergeCell ref="AO23:AQ23"/>
    <mergeCell ref="AM17:AM18"/>
    <mergeCell ref="A16:AQ16"/>
    <mergeCell ref="AO17:AQ18"/>
    <mergeCell ref="D11:D14"/>
    <mergeCell ref="T11:T14"/>
    <mergeCell ref="AB11:AB14"/>
    <mergeCell ref="AJ11:AJ14"/>
    <mergeCell ref="AO19:AQ19"/>
    <mergeCell ref="AO20:AQ20"/>
    <mergeCell ref="AO21:AQ21"/>
    <mergeCell ref="AO22:AQ22"/>
    <mergeCell ref="A17:A18"/>
    <mergeCell ref="AL17:AL18"/>
    <mergeCell ref="AM11:AQ11"/>
    <mergeCell ref="AM12:AQ12"/>
    <mergeCell ref="AM13:AQ13"/>
    <mergeCell ref="AM14:AQ14"/>
    <mergeCell ref="D17:D18"/>
    <mergeCell ref="L17:L18"/>
    <mergeCell ref="T17:T18"/>
    <mergeCell ref="AB17:AB18"/>
    <mergeCell ref="AJ17:AJ18"/>
    <mergeCell ref="AJ9:AJ10"/>
    <mergeCell ref="AJ1:AO1"/>
    <mergeCell ref="AJ2:AO2"/>
    <mergeCell ref="AJ3:AO3"/>
    <mergeCell ref="AJ4:AO4"/>
    <mergeCell ref="B5:AN5"/>
    <mergeCell ref="B6:AL6"/>
    <mergeCell ref="B7:AM7"/>
    <mergeCell ref="A8:AO8"/>
    <mergeCell ref="A9:A10"/>
    <mergeCell ref="A1:A4"/>
    <mergeCell ref="B1:AI4"/>
    <mergeCell ref="AL9:AL10"/>
    <mergeCell ref="AM9:AQ10"/>
    <mergeCell ref="D9:D10"/>
    <mergeCell ref="L9:L10"/>
    <mergeCell ref="O37:R37"/>
    <mergeCell ref="B45:N45"/>
    <mergeCell ref="S45:AB45"/>
    <mergeCell ref="AH45:AO45"/>
    <mergeCell ref="C46:O46"/>
    <mergeCell ref="S46:AB46"/>
    <mergeCell ref="AH46:AP46"/>
    <mergeCell ref="C37:E37"/>
    <mergeCell ref="C34:E34"/>
    <mergeCell ref="C36:E36"/>
    <mergeCell ref="C35:E35"/>
    <mergeCell ref="I35:J35"/>
    <mergeCell ref="F35:H35"/>
    <mergeCell ref="F32:H32"/>
    <mergeCell ref="F31:H31"/>
    <mergeCell ref="F30:H30"/>
    <mergeCell ref="F34:H34"/>
    <mergeCell ref="I34:J34"/>
    <mergeCell ref="I33:J33"/>
    <mergeCell ref="M30:N30"/>
    <mergeCell ref="I32:J32"/>
    <mergeCell ref="I31:J31"/>
    <mergeCell ref="I30:J30"/>
    <mergeCell ref="K30:L30"/>
    <mergeCell ref="O33:R33"/>
    <mergeCell ref="O32:R32"/>
    <mergeCell ref="B28:R28"/>
    <mergeCell ref="B29:E29"/>
    <mergeCell ref="F29:H29"/>
    <mergeCell ref="I29:J29"/>
    <mergeCell ref="K29:L29"/>
    <mergeCell ref="M29:N29"/>
    <mergeCell ref="O29:R29"/>
    <mergeCell ref="O31:R31"/>
    <mergeCell ref="C31:E31"/>
    <mergeCell ref="C30:E30"/>
    <mergeCell ref="C33:E33"/>
    <mergeCell ref="O30:R30"/>
    <mergeCell ref="C32:E32"/>
    <mergeCell ref="F33:H33"/>
    <mergeCell ref="K34:L34"/>
    <mergeCell ref="M34:N34"/>
    <mergeCell ref="F36:H36"/>
    <mergeCell ref="I36:J36"/>
    <mergeCell ref="O36:R36"/>
    <mergeCell ref="O35:R35"/>
    <mergeCell ref="O34:R34"/>
  </mergeCells>
  <conditionalFormatting sqref="K30">
    <cfRule type="cellIs" dxfId="1" priority="3" operator="equal">
      <formula>#REF!</formula>
    </cfRule>
  </conditionalFormatting>
  <conditionalFormatting sqref="M30">
    <cfRule type="cellIs" dxfId="0" priority="4" operator="equal">
      <formula>#REF!</formula>
    </cfRule>
  </conditionalFormatting>
  <pageMargins left="0.25" right="0.25" top="0.75" bottom="0.75" header="0.3" footer="0.3"/>
  <pageSetup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CENTRO DE SALUD - ROSARIO</vt:lpstr>
      <vt:lpstr>CENTRO DE SALUD - MUTIS</vt:lpstr>
      <vt:lpstr>'CENTRO DE SALUD - MUTIS'!Área_de_impresión</vt:lpstr>
      <vt:lpstr>'CENTRO DE SALUD - ROSARIO'!Área_de_impresión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 Radicacion</dc:creator>
  <cp:lastModifiedBy>gev</cp:lastModifiedBy>
  <cp:lastPrinted>2026-06-01T22:06:20Z</cp:lastPrinted>
  <dcterms:created xsi:type="dcterms:W3CDTF">2025-09-02T15:15:00Z</dcterms:created>
  <dcterms:modified xsi:type="dcterms:W3CDTF">2026-07-30T17:13:48Z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0ED7849DEC154F0590AD23A1AACE8978_13</vt:lpwstr>
  </property>
  <property fmtid="{D5CDD505-2E9C-101B-9397-08002B2CF9AE}" pid="3" name="KSOProductBuildVer">
    <vt:lpwstr>3082-12.2.0.23196</vt:lpwstr>
  </property>
</Properties>
</file>