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https://d.docs.live.net/ebe179f5566a80cf/Mundo Salud Médica/PROYECTO MSM/Programacion_Turnos/"/>
    </mc:Choice>
  </mc:AlternateContent>
  <xr:revisionPtr revIDLastSave="5" documentId="8_{56234F66-4735-47D3-BE8D-7E61445ED4D4}" xr6:coauthVersionLast="47" xr6:coauthVersionMax="47" xr10:uidLastSave="{BE90BCEF-CAEF-4A2A-9570-CA95DE72CFD9}"/>
  <bookViews>
    <workbookView minimized="1" xWindow="-34900" yWindow="-340" windowWidth="33940" windowHeight="16930" tabRatio="715" activeTab="2" xr2:uid="{00000000-000D-0000-FFFF-FFFF00000000}"/>
  </bookViews>
  <sheets>
    <sheet name="URGENCIAS" sheetId="24" r:id="rId1"/>
    <sheet name="CONSULTA EXTERNA" sheetId="26" r:id="rId2"/>
    <sheet name="FACTURACIÓN" sheetId="27" r:id="rId3"/>
    <sheet name="SUPERNUMERARIA" sheetId="28" r:id="rId4"/>
    <sheet name="AUDITORIA" sheetId="29" r:id="rId5"/>
    <sheet name="RADICACIÓN" sheetId="30" r:id="rId6"/>
  </sheets>
  <definedNames>
    <definedName name="_xlnm.Print_Area" localSheetId="1">'CONSULTA EXTERNA'!$A$1:$AT$53</definedName>
    <definedName name="_xlnm.Print_Area" localSheetId="5">RADICACIÓN!$A$1:$AQ$58</definedName>
    <definedName name="_xlnm.Print_Area" localSheetId="0">URGENCIAS!$A$1:$AT$60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3" i="27" l="1"/>
  <c r="M24" i="27"/>
  <c r="M25" i="27"/>
  <c r="U23" i="27"/>
  <c r="U24" i="27"/>
  <c r="U25" i="27"/>
  <c r="AC23" i="27"/>
  <c r="AC24" i="27"/>
  <c r="AC25" i="27"/>
  <c r="AK23" i="27"/>
  <c r="AK24" i="27"/>
  <c r="AK25" i="27"/>
  <c r="AO22" i="27"/>
  <c r="AO24" i="24"/>
  <c r="Y32" i="28"/>
  <c r="X32" i="28"/>
  <c r="AH24" i="24"/>
  <c r="N24" i="24"/>
  <c r="R24" i="24"/>
  <c r="P24" i="24"/>
  <c r="AC47" i="30"/>
  <c r="AB47" i="30"/>
  <c r="AC46" i="30"/>
  <c r="AD46" i="30" s="1"/>
  <c r="AB46" i="30"/>
  <c r="AC44" i="30"/>
  <c r="AB44" i="30"/>
  <c r="AD43" i="30"/>
  <c r="AC43" i="30"/>
  <c r="AB43" i="30"/>
  <c r="AC42" i="30"/>
  <c r="AB42" i="30"/>
  <c r="AD41" i="30"/>
  <c r="AC41" i="30"/>
  <c r="AB41" i="30"/>
  <c r="AC40" i="30"/>
  <c r="AB40" i="30"/>
  <c r="AC39" i="30"/>
  <c r="AD39" i="30" s="1"/>
  <c r="AB39" i="30"/>
  <c r="AC38" i="30"/>
  <c r="AD38" i="30" s="1"/>
  <c r="AB38" i="30"/>
  <c r="AC37" i="30"/>
  <c r="AD37" i="30" s="1"/>
  <c r="AB37" i="30"/>
  <c r="AC36" i="30"/>
  <c r="AB36" i="30"/>
  <c r="AD36" i="30" s="1"/>
  <c r="AN30" i="30"/>
  <c r="AL29" i="30"/>
  <c r="AM29" i="30" s="1"/>
  <c r="AJ29" i="30"/>
  <c r="AI29" i="30"/>
  <c r="AH29" i="30"/>
  <c r="AG29" i="30"/>
  <c r="AF29" i="30"/>
  <c r="AE29" i="30"/>
  <c r="AD29" i="30"/>
  <c r="AB29" i="30"/>
  <c r="AA29" i="30"/>
  <c r="Z29" i="30"/>
  <c r="Y29" i="30"/>
  <c r="X29" i="30"/>
  <c r="W29" i="30"/>
  <c r="AC29" i="30" s="1"/>
  <c r="V29" i="30"/>
  <c r="U29" i="30"/>
  <c r="T29" i="30"/>
  <c r="S29" i="30"/>
  <c r="R29" i="30"/>
  <c r="Q29" i="30"/>
  <c r="P29" i="30"/>
  <c r="O29" i="30"/>
  <c r="N29" i="30"/>
  <c r="L29" i="30"/>
  <c r="K29" i="30"/>
  <c r="J29" i="30"/>
  <c r="I29" i="30"/>
  <c r="H29" i="30"/>
  <c r="G29" i="30"/>
  <c r="F29" i="30"/>
  <c r="M29" i="30" s="1"/>
  <c r="D29" i="30"/>
  <c r="C29" i="30"/>
  <c r="E29" i="30" s="1"/>
  <c r="B29" i="30"/>
  <c r="AL28" i="30"/>
  <c r="AM28" i="30" s="1"/>
  <c r="AJ28" i="30"/>
  <c r="AI28" i="30"/>
  <c r="AH28" i="30"/>
  <c r="AG28" i="30"/>
  <c r="AF28" i="30"/>
  <c r="AE28" i="30"/>
  <c r="AD28" i="30"/>
  <c r="AB28" i="30"/>
  <c r="AA28" i="30"/>
  <c r="Z28" i="30"/>
  <c r="Y28" i="30"/>
  <c r="X28" i="30"/>
  <c r="W28" i="30"/>
  <c r="AC28" i="30" s="1"/>
  <c r="V28" i="30"/>
  <c r="T28" i="30"/>
  <c r="S28" i="30"/>
  <c r="R28" i="30"/>
  <c r="Q28" i="30"/>
  <c r="P28" i="30"/>
  <c r="O28" i="30"/>
  <c r="N28" i="30"/>
  <c r="L28" i="30"/>
  <c r="K28" i="30"/>
  <c r="J28" i="30"/>
  <c r="I28" i="30"/>
  <c r="H28" i="30"/>
  <c r="G28" i="30"/>
  <c r="F28" i="30"/>
  <c r="M28" i="30" s="1"/>
  <c r="D28" i="30"/>
  <c r="C28" i="30"/>
  <c r="B28" i="30"/>
  <c r="AL27" i="30"/>
  <c r="AM27" i="30" s="1"/>
  <c r="AJ27" i="30"/>
  <c r="AI27" i="30"/>
  <c r="AH27" i="30"/>
  <c r="AG27" i="30"/>
  <c r="AF27" i="30"/>
  <c r="AK27" i="30" s="1"/>
  <c r="AE27" i="30"/>
  <c r="AD27" i="30"/>
  <c r="AB27" i="30"/>
  <c r="AA27" i="30"/>
  <c r="Z27" i="30"/>
  <c r="Y27" i="30"/>
  <c r="X27" i="30"/>
  <c r="W27" i="30"/>
  <c r="V27" i="30"/>
  <c r="T27" i="30"/>
  <c r="S27" i="30"/>
  <c r="R27" i="30"/>
  <c r="Q27" i="30"/>
  <c r="P27" i="30"/>
  <c r="O27" i="30"/>
  <c r="N27" i="30"/>
  <c r="L27" i="30"/>
  <c r="K27" i="30"/>
  <c r="J27" i="30"/>
  <c r="I27" i="30"/>
  <c r="H27" i="30"/>
  <c r="G27" i="30"/>
  <c r="G30" i="30" s="1"/>
  <c r="F27" i="30"/>
  <c r="M27" i="30" s="1"/>
  <c r="D27" i="30"/>
  <c r="C27" i="30"/>
  <c r="E27" i="30" s="1"/>
  <c r="B27" i="30"/>
  <c r="AL26" i="30"/>
  <c r="AM26" i="30" s="1"/>
  <c r="AJ26" i="30"/>
  <c r="AI26" i="30"/>
  <c r="AH26" i="30"/>
  <c r="AG26" i="30"/>
  <c r="AF26" i="30"/>
  <c r="AE26" i="30"/>
  <c r="AD26" i="30"/>
  <c r="AB26" i="30"/>
  <c r="AA26" i="30"/>
  <c r="AC26" i="30" s="1"/>
  <c r="Z26" i="30"/>
  <c r="Y26" i="30"/>
  <c r="X26" i="30"/>
  <c r="W26" i="30"/>
  <c r="V26" i="30"/>
  <c r="T26" i="30"/>
  <c r="S26" i="30"/>
  <c r="R26" i="30"/>
  <c r="Q26" i="30"/>
  <c r="P26" i="30"/>
  <c r="O26" i="30"/>
  <c r="N26" i="30"/>
  <c r="L26" i="30"/>
  <c r="K26" i="30"/>
  <c r="J26" i="30"/>
  <c r="I26" i="30"/>
  <c r="H26" i="30"/>
  <c r="G26" i="30"/>
  <c r="F26" i="30"/>
  <c r="D26" i="30"/>
  <c r="C26" i="30"/>
  <c r="E26" i="30" s="1"/>
  <c r="B26" i="30"/>
  <c r="AM25" i="30"/>
  <c r="AL25" i="30"/>
  <c r="AJ25" i="30"/>
  <c r="AI25" i="30"/>
  <c r="AH25" i="30"/>
  <c r="AG25" i="30"/>
  <c r="AF25" i="30"/>
  <c r="AE25" i="30"/>
  <c r="AD25" i="30"/>
  <c r="AB25" i="30"/>
  <c r="AA25" i="30"/>
  <c r="Z25" i="30"/>
  <c r="Y25" i="30"/>
  <c r="X25" i="30"/>
  <c r="W25" i="30"/>
  <c r="AC25" i="30" s="1"/>
  <c r="V25" i="30"/>
  <c r="T25" i="30"/>
  <c r="T30" i="30" s="1"/>
  <c r="S25" i="30"/>
  <c r="R25" i="30"/>
  <c r="Q25" i="30"/>
  <c r="P25" i="30"/>
  <c r="O25" i="30"/>
  <c r="N25" i="30"/>
  <c r="L25" i="30"/>
  <c r="K25" i="30"/>
  <c r="J25" i="30"/>
  <c r="I25" i="30"/>
  <c r="H25" i="30"/>
  <c r="G25" i="30"/>
  <c r="F25" i="30"/>
  <c r="D25" i="30"/>
  <c r="C25" i="30"/>
  <c r="E25" i="30" s="1"/>
  <c r="B25" i="30"/>
  <c r="AM24" i="30"/>
  <c r="AL24" i="30"/>
  <c r="AJ24" i="30"/>
  <c r="AI24" i="30"/>
  <c r="AH24" i="30"/>
  <c r="AG24" i="30"/>
  <c r="AF24" i="30"/>
  <c r="AE24" i="30"/>
  <c r="AE30" i="30" s="1"/>
  <c r="AD24" i="30"/>
  <c r="AB24" i="30"/>
  <c r="AA24" i="30"/>
  <c r="Z24" i="30"/>
  <c r="Y24" i="30"/>
  <c r="X24" i="30"/>
  <c r="W24" i="30"/>
  <c r="AC24" i="30" s="1"/>
  <c r="V24" i="30"/>
  <c r="V30" i="30" s="1"/>
  <c r="T24" i="30"/>
  <c r="S24" i="30"/>
  <c r="R24" i="30"/>
  <c r="Q24" i="30"/>
  <c r="P24" i="30"/>
  <c r="O24" i="30"/>
  <c r="N24" i="30"/>
  <c r="L24" i="30"/>
  <c r="L30" i="30" s="1"/>
  <c r="K24" i="30"/>
  <c r="J24" i="30"/>
  <c r="I24" i="30"/>
  <c r="H24" i="30"/>
  <c r="G24" i="30"/>
  <c r="F24" i="30"/>
  <c r="D24" i="30"/>
  <c r="C24" i="30"/>
  <c r="C30" i="30" s="1"/>
  <c r="B24" i="30"/>
  <c r="AK25" i="30" l="1"/>
  <c r="AK29" i="30"/>
  <c r="D30" i="30"/>
  <c r="U24" i="30"/>
  <c r="AD42" i="30"/>
  <c r="P30" i="30"/>
  <c r="Y30" i="30"/>
  <c r="AH30" i="30"/>
  <c r="M25" i="30"/>
  <c r="AG30" i="30"/>
  <c r="H30" i="30"/>
  <c r="Q30" i="30"/>
  <c r="Z30" i="30"/>
  <c r="AI30" i="30"/>
  <c r="AD40" i="30"/>
  <c r="AD47" i="30"/>
  <c r="U28" i="30"/>
  <c r="X30" i="30"/>
  <c r="AA30" i="30"/>
  <c r="N30" i="30"/>
  <c r="AF30" i="30"/>
  <c r="F30" i="30"/>
  <c r="I30" i="30"/>
  <c r="R30" i="30"/>
  <c r="AJ30" i="30"/>
  <c r="M26" i="30"/>
  <c r="J30" i="30"/>
  <c r="S30" i="30"/>
  <c r="AB30" i="30"/>
  <c r="AL30" i="30"/>
  <c r="U26" i="30"/>
  <c r="AO26" i="30" s="1"/>
  <c r="AK26" i="30"/>
  <c r="AD44" i="30"/>
  <c r="K30" i="30"/>
  <c r="AD30" i="30"/>
  <c r="U25" i="30"/>
  <c r="U27" i="30"/>
  <c r="AO27" i="30" s="1"/>
  <c r="AC27" i="30"/>
  <c r="E28" i="30"/>
  <c r="AK28" i="30"/>
  <c r="AO28" i="30" s="1"/>
  <c r="Z32" i="28"/>
  <c r="AO29" i="30"/>
  <c r="M24" i="30"/>
  <c r="AK24" i="30"/>
  <c r="W30" i="30"/>
  <c r="E24" i="30"/>
  <c r="O30" i="30"/>
  <c r="AO25" i="30" l="1"/>
  <c r="AO24" i="30"/>
  <c r="Y36" i="29" l="1"/>
  <c r="X36" i="29"/>
  <c r="Y35" i="29"/>
  <c r="X35" i="29"/>
  <c r="Y34" i="29"/>
  <c r="X34" i="29"/>
  <c r="Y33" i="29"/>
  <c r="X33" i="29"/>
  <c r="Y32" i="29"/>
  <c r="Z32" i="29" s="1"/>
  <c r="X32" i="29"/>
  <c r="Y31" i="29"/>
  <c r="X31" i="29"/>
  <c r="Y30" i="29"/>
  <c r="X30" i="29"/>
  <c r="AL21" i="29"/>
  <c r="AM21" i="29" s="1"/>
  <c r="AJ21" i="29"/>
  <c r="AI21" i="29"/>
  <c r="AH21" i="29"/>
  <c r="AG21" i="29"/>
  <c r="AF21" i="29"/>
  <c r="AE21" i="29"/>
  <c r="AD21" i="29"/>
  <c r="AB21" i="29"/>
  <c r="AA21" i="29"/>
  <c r="Z21" i="29"/>
  <c r="Y21" i="29"/>
  <c r="X21" i="29"/>
  <c r="W21" i="29"/>
  <c r="V21" i="29"/>
  <c r="T21" i="29"/>
  <c r="S21" i="29"/>
  <c r="R21" i="29"/>
  <c r="Q21" i="29"/>
  <c r="P21" i="29"/>
  <c r="O21" i="29"/>
  <c r="N21" i="29"/>
  <c r="U21" i="29" s="1"/>
  <c r="L21" i="29"/>
  <c r="K21" i="29"/>
  <c r="J21" i="29"/>
  <c r="I21" i="29"/>
  <c r="H21" i="29"/>
  <c r="G21" i="29"/>
  <c r="F21" i="29"/>
  <c r="D21" i="29"/>
  <c r="C21" i="29"/>
  <c r="B21" i="29"/>
  <c r="AL20" i="29"/>
  <c r="AL22" i="29" s="1"/>
  <c r="AJ20" i="29"/>
  <c r="AJ22" i="29" s="1"/>
  <c r="AI20" i="29"/>
  <c r="AI22" i="29" s="1"/>
  <c r="AH20" i="29"/>
  <c r="AG20" i="29"/>
  <c r="AG22" i="29" s="1"/>
  <c r="AF20" i="29"/>
  <c r="AE20" i="29"/>
  <c r="AE22" i="29" s="1"/>
  <c r="AD20" i="29"/>
  <c r="AD22" i="29" s="1"/>
  <c r="AB20" i="29"/>
  <c r="AB22" i="29" s="1"/>
  <c r="AA20" i="29"/>
  <c r="AA22" i="29" s="1"/>
  <c r="Z20" i="29"/>
  <c r="Z22" i="29" s="1"/>
  <c r="Y20" i="29"/>
  <c r="X20" i="29"/>
  <c r="X22" i="29" s="1"/>
  <c r="W20" i="29"/>
  <c r="W22" i="29" s="1"/>
  <c r="V20" i="29"/>
  <c r="V22" i="29" s="1"/>
  <c r="T20" i="29"/>
  <c r="T22" i="29" s="1"/>
  <c r="S20" i="29"/>
  <c r="S22" i="29" s="1"/>
  <c r="R20" i="29"/>
  <c r="R22" i="29" s="1"/>
  <c r="Q20" i="29"/>
  <c r="Q22" i="29" s="1"/>
  <c r="P20" i="29"/>
  <c r="O20" i="29"/>
  <c r="O22" i="29" s="1"/>
  <c r="N20" i="29"/>
  <c r="L20" i="29"/>
  <c r="L22" i="29" s="1"/>
  <c r="K20" i="29"/>
  <c r="K22" i="29" s="1"/>
  <c r="J20" i="29"/>
  <c r="I20" i="29"/>
  <c r="I22" i="29" s="1"/>
  <c r="H20" i="29"/>
  <c r="H22" i="29" s="1"/>
  <c r="G20" i="29"/>
  <c r="G22" i="29" s="1"/>
  <c r="F20" i="29"/>
  <c r="D20" i="29"/>
  <c r="C20" i="29"/>
  <c r="C22" i="29" s="1"/>
  <c r="B20" i="29"/>
  <c r="Y35" i="28"/>
  <c r="Z35" i="28" s="1"/>
  <c r="X35" i="28"/>
  <c r="Y34" i="28"/>
  <c r="Z34" i="28" s="1"/>
  <c r="X34" i="28"/>
  <c r="Y33" i="28"/>
  <c r="X33" i="28"/>
  <c r="Z33" i="28" s="1"/>
  <c r="Y31" i="28"/>
  <c r="X31" i="28"/>
  <c r="Y30" i="28"/>
  <c r="X30" i="28"/>
  <c r="Z30" i="28" s="1"/>
  <c r="Y29" i="28"/>
  <c r="X29" i="28"/>
  <c r="AN21" i="28"/>
  <c r="AL20" i="28"/>
  <c r="AM20" i="28" s="1"/>
  <c r="AJ20" i="28"/>
  <c r="AJ21" i="28" s="1"/>
  <c r="AI20" i="28"/>
  <c r="AI21" i="28" s="1"/>
  <c r="AH20" i="28"/>
  <c r="AH21" i="28" s="1"/>
  <c r="AG20" i="28"/>
  <c r="AG21" i="28" s="1"/>
  <c r="AF20" i="28"/>
  <c r="AF21" i="28" s="1"/>
  <c r="AE20" i="28"/>
  <c r="AE21" i="28" s="1"/>
  <c r="AD20" i="28"/>
  <c r="AD21" i="28" s="1"/>
  <c r="AB20" i="28"/>
  <c r="AB21" i="28" s="1"/>
  <c r="AA20" i="28"/>
  <c r="AA21" i="28" s="1"/>
  <c r="Z20" i="28"/>
  <c r="Z21" i="28" s="1"/>
  <c r="Y20" i="28"/>
  <c r="Y21" i="28" s="1"/>
  <c r="X20" i="28"/>
  <c r="X21" i="28" s="1"/>
  <c r="W20" i="28"/>
  <c r="W21" i="28" s="1"/>
  <c r="V20" i="28"/>
  <c r="V21" i="28" s="1"/>
  <c r="T20" i="28"/>
  <c r="T21" i="28" s="1"/>
  <c r="S20" i="28"/>
  <c r="S21" i="28" s="1"/>
  <c r="R20" i="28"/>
  <c r="R21" i="28" s="1"/>
  <c r="Q20" i="28"/>
  <c r="Q21" i="28" s="1"/>
  <c r="P20" i="28"/>
  <c r="P21" i="28" s="1"/>
  <c r="O20" i="28"/>
  <c r="O21" i="28" s="1"/>
  <c r="N20" i="28"/>
  <c r="N21" i="28" s="1"/>
  <c r="L20" i="28"/>
  <c r="L21" i="28" s="1"/>
  <c r="K20" i="28"/>
  <c r="K21" i="28" s="1"/>
  <c r="J20" i="28"/>
  <c r="J21" i="28" s="1"/>
  <c r="I20" i="28"/>
  <c r="I21" i="28" s="1"/>
  <c r="H20" i="28"/>
  <c r="H21" i="28" s="1"/>
  <c r="G20" i="28"/>
  <c r="G21" i="28" s="1"/>
  <c r="F20" i="28"/>
  <c r="D20" i="28"/>
  <c r="D21" i="28" s="1"/>
  <c r="C20" i="28"/>
  <c r="C21" i="28" s="1"/>
  <c r="B20" i="28"/>
  <c r="X41" i="27"/>
  <c r="W41" i="27"/>
  <c r="X40" i="27"/>
  <c r="Y40" i="27" s="1"/>
  <c r="W40" i="27"/>
  <c r="X39" i="27"/>
  <c r="W39" i="27"/>
  <c r="X38" i="27"/>
  <c r="W38" i="27"/>
  <c r="X37" i="27"/>
  <c r="W37" i="27"/>
  <c r="X36" i="27"/>
  <c r="W36" i="27"/>
  <c r="X35" i="27"/>
  <c r="Y35" i="27" s="1"/>
  <c r="W35" i="27"/>
  <c r="X34" i="27"/>
  <c r="W34" i="27"/>
  <c r="AN26" i="27"/>
  <c r="AL25" i="27"/>
  <c r="AM25" i="27" s="1"/>
  <c r="AJ25" i="27"/>
  <c r="AI25" i="27"/>
  <c r="AH25" i="27"/>
  <c r="AG25" i="27"/>
  <c r="AF25" i="27"/>
  <c r="AE25" i="27"/>
  <c r="AD25" i="27"/>
  <c r="AB25" i="27"/>
  <c r="AA25" i="27"/>
  <c r="Z25" i="27"/>
  <c r="Y25" i="27"/>
  <c r="X25" i="27"/>
  <c r="W25" i="27"/>
  <c r="V25" i="27"/>
  <c r="T25" i="27"/>
  <c r="S25" i="27"/>
  <c r="R25" i="27"/>
  <c r="Q25" i="27"/>
  <c r="P25" i="27"/>
  <c r="O25" i="27"/>
  <c r="N25" i="27"/>
  <c r="L25" i="27"/>
  <c r="K25" i="27"/>
  <c r="J25" i="27"/>
  <c r="I25" i="27"/>
  <c r="H25" i="27"/>
  <c r="G25" i="27"/>
  <c r="F25" i="27"/>
  <c r="D25" i="27"/>
  <c r="C25" i="27"/>
  <c r="AL24" i="27"/>
  <c r="AM24" i="27" s="1"/>
  <c r="AJ24" i="27"/>
  <c r="AI24" i="27"/>
  <c r="AH24" i="27"/>
  <c r="AG24" i="27"/>
  <c r="AF24" i="27"/>
  <c r="AE24" i="27"/>
  <c r="AD24" i="27"/>
  <c r="AB24" i="27"/>
  <c r="AA24" i="27"/>
  <c r="Z24" i="27"/>
  <c r="Y24" i="27"/>
  <c r="X24" i="27"/>
  <c r="W24" i="27"/>
  <c r="V24" i="27"/>
  <c r="T24" i="27"/>
  <c r="S24" i="27"/>
  <c r="R24" i="27"/>
  <c r="Q24" i="27"/>
  <c r="P24" i="27"/>
  <c r="O24" i="27"/>
  <c r="N24" i="27"/>
  <c r="L24" i="27"/>
  <c r="K24" i="27"/>
  <c r="J24" i="27"/>
  <c r="I24" i="27"/>
  <c r="H24" i="27"/>
  <c r="G24" i="27"/>
  <c r="F24" i="27"/>
  <c r="D24" i="27"/>
  <c r="C24" i="27"/>
  <c r="B24" i="27"/>
  <c r="AL23" i="27"/>
  <c r="AM23" i="27" s="1"/>
  <c r="AJ23" i="27"/>
  <c r="AI23" i="27"/>
  <c r="AH23" i="27"/>
  <c r="AG23" i="27"/>
  <c r="AF23" i="27"/>
  <c r="AE23" i="27"/>
  <c r="AD23" i="27"/>
  <c r="AB23" i="27"/>
  <c r="AA23" i="27"/>
  <c r="Z23" i="27"/>
  <c r="Y23" i="27"/>
  <c r="X23" i="27"/>
  <c r="W23" i="27"/>
  <c r="V23" i="27"/>
  <c r="T23" i="27"/>
  <c r="S23" i="27"/>
  <c r="R23" i="27"/>
  <c r="Q23" i="27"/>
  <c r="P23" i="27"/>
  <c r="O23" i="27"/>
  <c r="N23" i="27"/>
  <c r="L23" i="27"/>
  <c r="K23" i="27"/>
  <c r="J23" i="27"/>
  <c r="I23" i="27"/>
  <c r="H23" i="27"/>
  <c r="G23" i="27"/>
  <c r="F23" i="27"/>
  <c r="D23" i="27"/>
  <c r="C23" i="27"/>
  <c r="B23" i="27"/>
  <c r="AL22" i="27"/>
  <c r="AM22" i="27" s="1"/>
  <c r="AJ22" i="27"/>
  <c r="AI22" i="27"/>
  <c r="AH22" i="27"/>
  <c r="AG22" i="27"/>
  <c r="AF22" i="27"/>
  <c r="AE22" i="27"/>
  <c r="AD22" i="27"/>
  <c r="AB22" i="27"/>
  <c r="AA22" i="27"/>
  <c r="Z22" i="27"/>
  <c r="Y22" i="27"/>
  <c r="X22" i="27"/>
  <c r="W22" i="27"/>
  <c r="V22" i="27"/>
  <c r="T22" i="27"/>
  <c r="S22" i="27"/>
  <c r="R22" i="27"/>
  <c r="Q22" i="27"/>
  <c r="P22" i="27"/>
  <c r="O22" i="27"/>
  <c r="N22" i="27"/>
  <c r="L22" i="27"/>
  <c r="K22" i="27"/>
  <c r="J22" i="27"/>
  <c r="I22" i="27"/>
  <c r="H22" i="27"/>
  <c r="G22" i="27"/>
  <c r="F22" i="27"/>
  <c r="D22" i="27"/>
  <c r="C22" i="27"/>
  <c r="B22" i="27"/>
  <c r="Y36" i="27" l="1"/>
  <c r="P22" i="29"/>
  <c r="AC20" i="29"/>
  <c r="AH22" i="29"/>
  <c r="M21" i="29"/>
  <c r="Z33" i="29"/>
  <c r="Z30" i="29"/>
  <c r="Z34" i="29"/>
  <c r="Y41" i="27"/>
  <c r="AK20" i="29"/>
  <c r="D22" i="29"/>
  <c r="J22" i="29"/>
  <c r="Z31" i="29"/>
  <c r="Z35" i="29"/>
  <c r="Y34" i="27"/>
  <c r="E20" i="29"/>
  <c r="M20" i="29"/>
  <c r="AK21" i="29"/>
  <c r="Z29" i="28"/>
  <c r="F22" i="29"/>
  <c r="U20" i="29"/>
  <c r="AF22" i="29"/>
  <c r="E21" i="29"/>
  <c r="AO21" i="29" s="1"/>
  <c r="AC21" i="29"/>
  <c r="Z36" i="29"/>
  <c r="Z31" i="28"/>
  <c r="M20" i="28"/>
  <c r="Y39" i="27"/>
  <c r="Y38" i="27"/>
  <c r="Y37" i="27"/>
  <c r="E25" i="27"/>
  <c r="J26" i="27"/>
  <c r="X26" i="27"/>
  <c r="H26" i="27"/>
  <c r="V26" i="27"/>
  <c r="AI26" i="27"/>
  <c r="AA26" i="27"/>
  <c r="N26" i="27"/>
  <c r="Q26" i="27"/>
  <c r="D26" i="27"/>
  <c r="R26" i="27"/>
  <c r="AF26" i="27"/>
  <c r="F26" i="27"/>
  <c r="S26" i="27"/>
  <c r="AG26" i="27"/>
  <c r="T26" i="27"/>
  <c r="G26" i="27"/>
  <c r="AH26" i="27"/>
  <c r="E24" i="27"/>
  <c r="O26" i="27"/>
  <c r="L26" i="27"/>
  <c r="Z26" i="27"/>
  <c r="E23" i="27"/>
  <c r="K26" i="27"/>
  <c r="AB26" i="27"/>
  <c r="P26" i="27"/>
  <c r="AK22" i="27"/>
  <c r="E22" i="27"/>
  <c r="AE26" i="27"/>
  <c r="AL26" i="27"/>
  <c r="Y26" i="27"/>
  <c r="I26" i="27"/>
  <c r="W26" i="27"/>
  <c r="AJ26" i="27"/>
  <c r="E20" i="28"/>
  <c r="AC20" i="28"/>
  <c r="U22" i="27"/>
  <c r="AM20" i="29"/>
  <c r="Y22" i="29"/>
  <c r="U20" i="28"/>
  <c r="N22" i="29"/>
  <c r="AD26" i="27"/>
  <c r="AL21" i="28"/>
  <c r="M22" i="27"/>
  <c r="C26" i="27"/>
  <c r="F21" i="28"/>
  <c r="AK20" i="28"/>
  <c r="AC22" i="27"/>
  <c r="AO20" i="29" l="1"/>
  <c r="AO25" i="27"/>
  <c r="AO24" i="27"/>
  <c r="AO23" i="27"/>
  <c r="AO20" i="28"/>
  <c r="AG20" i="26" l="1"/>
  <c r="AF21" i="26"/>
  <c r="AE21" i="26"/>
  <c r="AE20" i="26"/>
  <c r="AD21" i="26"/>
  <c r="AD20" i="26"/>
  <c r="R21" i="26"/>
  <c r="Q21" i="26"/>
  <c r="N21" i="26"/>
  <c r="I21" i="26"/>
  <c r="Q20" i="26"/>
  <c r="O20" i="26"/>
  <c r="G21" i="26"/>
  <c r="H21" i="26"/>
  <c r="H20" i="26"/>
  <c r="G20" i="26"/>
  <c r="F20" i="26"/>
  <c r="AN22" i="26"/>
  <c r="AL21" i="26"/>
  <c r="AM21" i="26" s="1"/>
  <c r="AI21" i="26"/>
  <c r="AH21" i="26"/>
  <c r="AG21" i="26"/>
  <c r="AB21" i="26"/>
  <c r="AA21" i="26"/>
  <c r="Z21" i="26"/>
  <c r="Y21" i="26"/>
  <c r="X21" i="26"/>
  <c r="W21" i="26"/>
  <c r="T21" i="26"/>
  <c r="S21" i="26"/>
  <c r="P21" i="26"/>
  <c r="O21" i="26"/>
  <c r="J21" i="26"/>
  <c r="F21" i="26"/>
  <c r="D21" i="26"/>
  <c r="C21" i="26"/>
  <c r="B21" i="26"/>
  <c r="AL20" i="26"/>
  <c r="AJ20" i="26"/>
  <c r="AI20" i="26"/>
  <c r="AH20" i="26"/>
  <c r="AF20" i="26"/>
  <c r="AA20" i="26"/>
  <c r="Z20" i="26"/>
  <c r="Y20" i="26"/>
  <c r="X20" i="26"/>
  <c r="W20" i="26"/>
  <c r="T20" i="26"/>
  <c r="R20" i="26"/>
  <c r="P20" i="26"/>
  <c r="N20" i="26"/>
  <c r="I20" i="26"/>
  <c r="D20" i="26"/>
  <c r="C20" i="26"/>
  <c r="B20" i="26"/>
  <c r="AN30" i="24"/>
  <c r="L27" i="24"/>
  <c r="H27" i="24"/>
  <c r="P26" i="24"/>
  <c r="K26" i="24"/>
  <c r="AG25" i="24"/>
  <c r="AB25" i="24"/>
  <c r="S25" i="24"/>
  <c r="J25" i="24"/>
  <c r="O25" i="24"/>
  <c r="I24" i="24"/>
  <c r="F25" i="24"/>
  <c r="G26" i="24"/>
  <c r="AL29" i="24"/>
  <c r="AM29" i="24" s="1"/>
  <c r="AF24" i="24"/>
  <c r="AI24" i="24"/>
  <c r="AH29" i="24"/>
  <c r="AH28" i="24"/>
  <c r="AH27" i="24"/>
  <c r="AL24" i="24"/>
  <c r="AM24" i="24" s="1"/>
  <c r="AL25" i="24"/>
  <c r="AM25" i="24" s="1"/>
  <c r="AL26" i="24"/>
  <c r="AM26" i="24" s="1"/>
  <c r="AL27" i="24"/>
  <c r="AM27" i="24" s="1"/>
  <c r="AI29" i="24"/>
  <c r="AI28" i="24"/>
  <c r="AI27" i="24"/>
  <c r="AI26" i="24"/>
  <c r="AH26" i="24"/>
  <c r="AI25" i="24"/>
  <c r="AH25" i="24"/>
  <c r="AJ24" i="24"/>
  <c r="AH30" i="24" l="1"/>
  <c r="AI30" i="24"/>
  <c r="AI22" i="26"/>
  <c r="Z22" i="26"/>
  <c r="AH22" i="26"/>
  <c r="T22" i="26"/>
  <c r="AA22" i="26"/>
  <c r="X22" i="26"/>
  <c r="E21" i="26"/>
  <c r="Y22" i="26"/>
  <c r="C22" i="26"/>
  <c r="AM20" i="26"/>
  <c r="E20" i="26"/>
  <c r="D22" i="26"/>
  <c r="AA29" i="24"/>
  <c r="Z29" i="24"/>
  <c r="Y29" i="24"/>
  <c r="X29" i="24"/>
  <c r="T29" i="24"/>
  <c r="Q29" i="24"/>
  <c r="D29" i="24"/>
  <c r="C29" i="24"/>
  <c r="B29" i="24"/>
  <c r="AA28" i="24"/>
  <c r="Z28" i="24"/>
  <c r="Y28" i="24"/>
  <c r="X28" i="24"/>
  <c r="T28" i="24"/>
  <c r="Q28" i="24"/>
  <c r="D28" i="24"/>
  <c r="C28" i="24"/>
  <c r="B28" i="24"/>
  <c r="AA27" i="24"/>
  <c r="Z27" i="24"/>
  <c r="Y27" i="24"/>
  <c r="X27" i="24"/>
  <c r="T27" i="24"/>
  <c r="D27" i="24"/>
  <c r="C27" i="24"/>
  <c r="B27" i="24"/>
  <c r="AA26" i="24"/>
  <c r="Z26" i="24"/>
  <c r="Y26" i="24"/>
  <c r="X26" i="24"/>
  <c r="T26" i="24"/>
  <c r="D26" i="24"/>
  <c r="C26" i="24"/>
  <c r="B26" i="24"/>
  <c r="AA25" i="24"/>
  <c r="Z25" i="24"/>
  <c r="Y25" i="24"/>
  <c r="X25" i="24"/>
  <c r="W25" i="24"/>
  <c r="T25" i="24"/>
  <c r="P25" i="24"/>
  <c r="D25" i="24"/>
  <c r="C25" i="24"/>
  <c r="B25" i="24"/>
  <c r="AA24" i="24"/>
  <c r="Z24" i="24"/>
  <c r="Y24" i="24"/>
  <c r="X24" i="24"/>
  <c r="W24" i="24"/>
  <c r="T24" i="24"/>
  <c r="D24" i="24"/>
  <c r="C24" i="24"/>
  <c r="B24" i="24"/>
  <c r="Q25" i="24" l="1"/>
  <c r="P27" i="24"/>
  <c r="R25" i="24"/>
  <c r="V20" i="26"/>
  <c r="AB20" i="26"/>
  <c r="AJ21" i="26"/>
  <c r="L20" i="26"/>
  <c r="L21" i="26"/>
  <c r="S20" i="26"/>
  <c r="K21" i="26"/>
  <c r="K20" i="26"/>
  <c r="J20" i="26"/>
  <c r="V21" i="26"/>
  <c r="AC21" i="26" s="1"/>
  <c r="E29" i="24"/>
  <c r="E25" i="24"/>
  <c r="E24" i="24"/>
  <c r="E28" i="24"/>
  <c r="Z30" i="24"/>
  <c r="AA30" i="24"/>
  <c r="Y30" i="24"/>
  <c r="E26" i="24"/>
  <c r="T30" i="24"/>
  <c r="C30" i="24"/>
  <c r="D30" i="24"/>
  <c r="Q24" i="24" s="1"/>
  <c r="X30" i="24"/>
  <c r="E27" i="24"/>
  <c r="Q27" i="24" l="1"/>
  <c r="R26" i="24"/>
  <c r="AL28" i="24"/>
  <c r="AM28" i="24" s="1"/>
  <c r="O24" i="24"/>
  <c r="M21" i="26"/>
  <c r="AJ22" i="26"/>
  <c r="N22" i="26"/>
  <c r="U21" i="26"/>
  <c r="AF22" i="26"/>
  <c r="S22" i="26"/>
  <c r="AD22" i="26"/>
  <c r="AK20" i="26"/>
  <c r="U20" i="26"/>
  <c r="O22" i="26"/>
  <c r="AB22" i="26"/>
  <c r="AE22" i="26"/>
  <c r="AC20" i="26"/>
  <c r="V22" i="26"/>
  <c r="AK21" i="26"/>
  <c r="H22" i="26"/>
  <c r="W22" i="26"/>
  <c r="R22" i="26"/>
  <c r="Q22" i="26"/>
  <c r="J22" i="26"/>
  <c r="P22" i="26"/>
  <c r="K22" i="26"/>
  <c r="M20" i="26"/>
  <c r="F22" i="26"/>
  <c r="AL22" i="26"/>
  <c r="G22" i="26"/>
  <c r="AG22" i="26"/>
  <c r="I22" i="26"/>
  <c r="L22" i="26"/>
  <c r="L28" i="24"/>
  <c r="AG29" i="24"/>
  <c r="AJ28" i="24"/>
  <c r="AJ29" i="24"/>
  <c r="AG28" i="24"/>
  <c r="AG26" i="24"/>
  <c r="AJ27" i="24"/>
  <c r="AG27" i="24"/>
  <c r="AJ26" i="24"/>
  <c r="AB24" i="24"/>
  <c r="W27" i="24"/>
  <c r="AE27" i="24"/>
  <c r="AF26" i="24"/>
  <c r="F29" i="24"/>
  <c r="AF28" i="24"/>
  <c r="AD24" i="24"/>
  <c r="I28" i="24"/>
  <c r="R29" i="24"/>
  <c r="N25" i="24"/>
  <c r="U25" i="24" s="1"/>
  <c r="AF27" i="24"/>
  <c r="AG24" i="24"/>
  <c r="R27" i="24"/>
  <c r="G25" i="24"/>
  <c r="V28" i="24"/>
  <c r="H28" i="24"/>
  <c r="S28" i="24"/>
  <c r="S24" i="24"/>
  <c r="V26" i="24"/>
  <c r="G27" i="24"/>
  <c r="F24" i="24"/>
  <c r="O28" i="24"/>
  <c r="J28" i="24"/>
  <c r="AE29" i="24"/>
  <c r="G28" i="24"/>
  <c r="AB29" i="24"/>
  <c r="J26" i="24"/>
  <c r="K24" i="24"/>
  <c r="K27" i="24"/>
  <c r="S27" i="24"/>
  <c r="S29" i="24"/>
  <c r="V27" i="24"/>
  <c r="AD28" i="24"/>
  <c r="L25" i="24"/>
  <c r="I26" i="24"/>
  <c r="AD26" i="24"/>
  <c r="N26" i="24"/>
  <c r="G29" i="24"/>
  <c r="J27" i="24"/>
  <c r="I27" i="24"/>
  <c r="R28" i="24"/>
  <c r="K29" i="24"/>
  <c r="V24" i="24"/>
  <c r="AE28" i="24"/>
  <c r="AE24" i="24"/>
  <c r="AD29" i="24"/>
  <c r="L26" i="24"/>
  <c r="W26" i="24"/>
  <c r="F28" i="24"/>
  <c r="W29" i="24"/>
  <c r="I29" i="24"/>
  <c r="AB28" i="24"/>
  <c r="V25" i="24"/>
  <c r="AC25" i="24" s="1"/>
  <c r="AF25" i="24"/>
  <c r="H29" i="24"/>
  <c r="P28" i="24"/>
  <c r="H25" i="24"/>
  <c r="AD25" i="24"/>
  <c r="AD27" i="24"/>
  <c r="I25" i="24"/>
  <c r="K25" i="24"/>
  <c r="F27" i="24"/>
  <c r="J24" i="24"/>
  <c r="H24" i="24"/>
  <c r="O26" i="24"/>
  <c r="O29" i="24"/>
  <c r="Q26" i="24"/>
  <c r="H26" i="24"/>
  <c r="AE26" i="24"/>
  <c r="N27" i="24"/>
  <c r="AF29" i="24"/>
  <c r="AJ25" i="24"/>
  <c r="S26" i="24"/>
  <c r="F26" i="24"/>
  <c r="AB26" i="24"/>
  <c r="L29" i="24"/>
  <c r="G24" i="24"/>
  <c r="L24" i="24"/>
  <c r="N28" i="24"/>
  <c r="V29" i="24"/>
  <c r="W28" i="24"/>
  <c r="AE25" i="24"/>
  <c r="P29" i="24"/>
  <c r="O27" i="24"/>
  <c r="N29" i="24"/>
  <c r="U29" i="24" s="1"/>
  <c r="AB27" i="24"/>
  <c r="J29" i="24"/>
  <c r="K28" i="24"/>
  <c r="M27" i="24" l="1"/>
  <c r="U27" i="24"/>
  <c r="AK29" i="24"/>
  <c r="U26" i="24"/>
  <c r="AK26" i="24"/>
  <c r="AK27" i="24"/>
  <c r="AK25" i="24"/>
  <c r="M25" i="24"/>
  <c r="AO25" i="24" s="1"/>
  <c r="AC26" i="24"/>
  <c r="AK28" i="24"/>
  <c r="AC29" i="24"/>
  <c r="AC27" i="24"/>
  <c r="AC28" i="24"/>
  <c r="M28" i="24"/>
  <c r="U28" i="24"/>
  <c r="M29" i="24"/>
  <c r="M26" i="24"/>
  <c r="AL30" i="24"/>
  <c r="AC24" i="24"/>
  <c r="AO20" i="26"/>
  <c r="AO21" i="26"/>
  <c r="AJ30" i="24"/>
  <c r="AG30" i="24"/>
  <c r="AK24" i="24"/>
  <c r="AB30" i="24"/>
  <c r="U24" i="24"/>
  <c r="H30" i="24"/>
  <c r="Q30" i="24"/>
  <c r="AD30" i="24"/>
  <c r="R30" i="24"/>
  <c r="AF30" i="24"/>
  <c r="I30" i="24"/>
  <c r="P30" i="24"/>
  <c r="W30" i="24"/>
  <c r="F30" i="24"/>
  <c r="G30" i="24"/>
  <c r="J30" i="24"/>
  <c r="AE30" i="24"/>
  <c r="S30" i="24"/>
  <c r="O30" i="24"/>
  <c r="K30" i="24"/>
  <c r="M24" i="24"/>
  <c r="V30" i="24"/>
  <c r="L30" i="24"/>
  <c r="N30" i="24"/>
  <c r="AO27" i="24" l="1"/>
  <c r="AO28" i="24"/>
  <c r="AO26" i="24"/>
  <c r="AO29"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Lider Admisiones</author>
  </authors>
  <commentList>
    <comment ref="R14" authorId="0" shapeId="0" xr:uid="{D7ED20B8-DFCB-4467-AF5D-1099ABB0BDEF}">
      <text>
        <r>
          <rPr>
            <b/>
            <sz val="9"/>
            <color indexed="81"/>
            <rFont val="Tahoma"/>
            <family val="2"/>
          </rPr>
          <t>Lider Admisiones:</t>
        </r>
        <r>
          <rPr>
            <sz val="9"/>
            <color indexed="81"/>
            <rFont val="Tahoma"/>
            <family val="2"/>
          </rPr>
          <t xml:space="preserve">
Supernumeraria</t>
        </r>
      </text>
    </comment>
    <comment ref="W14" authorId="0" shapeId="0" xr:uid="{CFB6B860-4662-4961-9667-0C4067DFBB32}">
      <text>
        <r>
          <rPr>
            <b/>
            <sz val="9"/>
            <color indexed="81"/>
            <rFont val="Tahoma"/>
            <family val="2"/>
          </rPr>
          <t>Lider Admisiones:</t>
        </r>
        <r>
          <rPr>
            <sz val="9"/>
            <color indexed="81"/>
            <rFont val="Tahoma"/>
            <family val="2"/>
          </rPr>
          <t xml:space="preserve">
Supernumeraria
</t>
        </r>
      </text>
    </comment>
    <comment ref="AF14" authorId="0" shapeId="0" xr:uid="{A23F47DE-4326-4B41-9CC4-2E98102BFF20}">
      <text>
        <r>
          <rPr>
            <b/>
            <sz val="9"/>
            <color indexed="81"/>
            <rFont val="Tahoma"/>
            <family val="2"/>
          </rPr>
          <t>Lider Admisiones:</t>
        </r>
        <r>
          <rPr>
            <sz val="9"/>
            <color indexed="81"/>
            <rFont val="Tahoma"/>
            <family val="2"/>
          </rPr>
          <t xml:space="preserve">
7 A 8 Supernumeraria
</t>
        </r>
      </text>
    </comment>
    <comment ref="X15" authorId="0" shapeId="0" xr:uid="{28CDB543-AC62-4EC9-B3D5-6FD9E5E2E69E}">
      <text>
        <r>
          <rPr>
            <b/>
            <sz val="9"/>
            <color indexed="81"/>
            <rFont val="Tahoma"/>
            <family val="2"/>
          </rPr>
          <t>Lider Admisiones:</t>
        </r>
        <r>
          <rPr>
            <sz val="9"/>
            <color indexed="81"/>
            <rFont val="Tahoma"/>
            <family val="2"/>
          </rPr>
          <t xml:space="preserve">
Supernumeraria</t>
        </r>
      </text>
    </comment>
    <comment ref="AG15" authorId="0" shapeId="0" xr:uid="{F0F10B78-85B9-422A-B731-0B11354BD6CF}">
      <text>
        <r>
          <rPr>
            <b/>
            <sz val="9"/>
            <color indexed="81"/>
            <rFont val="Tahoma"/>
            <family val="2"/>
          </rPr>
          <t>Lider Admisiones:</t>
        </r>
        <r>
          <rPr>
            <sz val="9"/>
            <color indexed="81"/>
            <rFont val="Tahoma"/>
            <family val="2"/>
          </rPr>
          <t xml:space="preserve">
7 A 8 Supernumeraria
</t>
        </r>
      </text>
    </comment>
    <comment ref="AD16" authorId="0" shapeId="0" xr:uid="{489FD1D5-80EF-44F1-AAAB-27AF80B70EB3}">
      <text>
        <r>
          <rPr>
            <b/>
            <sz val="9"/>
            <color indexed="81"/>
            <rFont val="Tahoma"/>
            <family val="2"/>
          </rPr>
          <t>Lider Admisiones:</t>
        </r>
        <r>
          <rPr>
            <sz val="9"/>
            <color indexed="81"/>
            <rFont val="Tahoma"/>
            <family val="2"/>
          </rPr>
          <t xml:space="preserve">
Supernumeraria</t>
        </r>
      </text>
    </comment>
    <comment ref="AH16" authorId="0" shapeId="0" xr:uid="{2359DF6A-7F80-446D-BB87-C236577739E6}">
      <text>
        <r>
          <rPr>
            <b/>
            <sz val="9"/>
            <color indexed="81"/>
            <rFont val="Tahoma"/>
            <family val="2"/>
          </rPr>
          <t>Lider Admisiones:</t>
        </r>
        <r>
          <rPr>
            <sz val="9"/>
            <color indexed="81"/>
            <rFont val="Tahoma"/>
            <family val="2"/>
          </rPr>
          <t xml:space="preserve">
7 A 8 Supernumeraria
</t>
        </r>
      </text>
    </comment>
    <comment ref="Q17" authorId="0" shapeId="0" xr:uid="{F588F60B-45CA-4728-ACCE-ADDD595133D1}">
      <text>
        <r>
          <rPr>
            <b/>
            <sz val="9"/>
            <color indexed="81"/>
            <rFont val="Tahoma"/>
            <family val="2"/>
          </rPr>
          <t>Lider Admisiones:</t>
        </r>
        <r>
          <rPr>
            <sz val="9"/>
            <color indexed="81"/>
            <rFont val="Tahoma"/>
            <family val="2"/>
          </rPr>
          <t xml:space="preserve">
Supernumeraria
</t>
        </r>
      </text>
    </comment>
    <comment ref="Z17" authorId="0" shapeId="0" xr:uid="{F3031D19-B513-430D-8578-4F1C0EBA7718}">
      <text>
        <r>
          <rPr>
            <b/>
            <sz val="9"/>
            <color indexed="81"/>
            <rFont val="Tahoma"/>
            <family val="2"/>
          </rPr>
          <t>Lider Admisiones:</t>
        </r>
        <r>
          <rPr>
            <sz val="9"/>
            <color indexed="81"/>
            <rFont val="Tahoma"/>
            <family val="2"/>
          </rPr>
          <t xml:space="preserve">
Supernumeraria</t>
        </r>
      </text>
    </comment>
    <comment ref="AE17" authorId="0" shapeId="0" xr:uid="{AC2CD90F-121D-4851-8DB9-B6F9B4EA6A38}">
      <text>
        <r>
          <rPr>
            <b/>
            <sz val="9"/>
            <color indexed="81"/>
            <rFont val="Tahoma"/>
            <family val="2"/>
          </rPr>
          <t>Lider Admisiones:</t>
        </r>
        <r>
          <rPr>
            <sz val="9"/>
            <color indexed="81"/>
            <rFont val="Tahoma"/>
            <family val="2"/>
          </rPr>
          <t xml:space="preserve">
7 A 8 Supernumeraria
</t>
        </r>
      </text>
    </comment>
  </commentList>
</comments>
</file>

<file path=xl/sharedStrings.xml><?xml version="1.0" encoding="utf-8"?>
<sst xmlns="http://schemas.openxmlformats.org/spreadsheetml/2006/main" count="1450" uniqueCount="102">
  <si>
    <t>CUADRO DE TURNOS</t>
  </si>
  <si>
    <t>GTH-FT-038</t>
  </si>
  <si>
    <t>Página 1 de 1</t>
  </si>
  <si>
    <t xml:space="preserve">UNIDAD FUNCIONAL: </t>
  </si>
  <si>
    <t>SOCIEDAD MEDICA CLINICA ALCALA</t>
  </si>
  <si>
    <t xml:space="preserve">SERVICIO: </t>
  </si>
  <si>
    <t xml:space="preserve">PERIODO: </t>
  </si>
  <si>
    <t>NOMBRE</t>
  </si>
  <si>
    <t>L</t>
  </si>
  <si>
    <t>M</t>
  </si>
  <si>
    <t>J</t>
  </si>
  <si>
    <t>V</t>
  </si>
  <si>
    <t>S</t>
  </si>
  <si>
    <t>D</t>
  </si>
  <si>
    <t>H</t>
  </si>
  <si>
    <t>CAP</t>
  </si>
  <si>
    <t>FIRMA</t>
  </si>
  <si>
    <t>D1</t>
  </si>
  <si>
    <t>TOTAL HORAS DÍA</t>
  </si>
  <si>
    <t>NOTA: 1. LAS CONVENCIONES PUEDEN VARIAR DE ACUERDO A NECESIDAD DE AJUSTES DE HORAS DE UNIDADES OPERATIVAS 2. NO SE PERMITE CAMBIO DE TURNO SIN PREVIA AUTORIZACION DEL COORDINADOR Y DEBE DILIGENCIARSE FORMATO ESTABLECIDO EN SGC. 3. LOS TURNOS SON ASIGNADOS TENIENDO EN CUENTA LA PRESTACIÓN DEL SERVICIO, SEGÚN NECESIDAD DE LA E.S.E Y DE REQUERIRSE SE PUEDE CAMBIAR LA SECUENCIA. 4. ESTE FORMATO Y LA INFORMACION QUE ESTE CONTIENE,  ES DE USO EXCLUSIVO UNICAMENTE POR PERSONAL DEL PROCESO. EL USO PARA OTRO FIN DIFERENTE NO ESTA PERMITIDO. DEBE VALIDARSE CON LIDER. 5. LA JORNADA CONTINUA TENDRA 30 MINUTOS PARA ALMORZAR.</t>
  </si>
  <si>
    <t>CONVENCIONES</t>
  </si>
  <si>
    <t>TURNO</t>
  </si>
  <si>
    <t>INICIO</t>
  </si>
  <si>
    <t>FIN</t>
  </si>
  <si>
    <t>INCIO</t>
  </si>
  <si>
    <t>TOTAL HORAS</t>
  </si>
  <si>
    <t>DIA</t>
  </si>
  <si>
    <t>Dia</t>
  </si>
  <si>
    <t>Libre</t>
  </si>
  <si>
    <t>Capacitación</t>
  </si>
  <si>
    <t>REVISO: ZAMIRA LIZETH REINA PINEDA</t>
  </si>
  <si>
    <t xml:space="preserve">              Directora Facturación</t>
  </si>
  <si>
    <t>D3</t>
  </si>
  <si>
    <t>D2</t>
  </si>
  <si>
    <t>Lider de Admisiones.</t>
  </si>
  <si>
    <t>ELABORO: YURY MARIN QUINTERO</t>
  </si>
  <si>
    <t xml:space="preserve">Apoyo </t>
  </si>
  <si>
    <t>J2</t>
  </si>
  <si>
    <t>J1</t>
  </si>
  <si>
    <t>NOCHE</t>
  </si>
  <si>
    <t>N</t>
  </si>
  <si>
    <t xml:space="preserve">TOTAL HORAS </t>
  </si>
  <si>
    <t>ANDRES FELIPE MORENO - GESTOR</t>
  </si>
  <si>
    <t>JHENI OBANDO</t>
  </si>
  <si>
    <t xml:space="preserve">JULIANA RIVEROS </t>
  </si>
  <si>
    <t xml:space="preserve">ANGIE ROMERO </t>
  </si>
  <si>
    <t xml:space="preserve">DAVID ARTURO MORALES </t>
  </si>
  <si>
    <t>PAULA PACHECO</t>
  </si>
  <si>
    <t>URGENCIAS</t>
  </si>
  <si>
    <r>
      <rPr>
        <b/>
        <sz val="12"/>
        <color indexed="8"/>
        <rFont val="Calibri"/>
        <family val="2"/>
      </rPr>
      <t>Versión:  02</t>
    </r>
  </si>
  <si>
    <t>Fecha:  25-06-2018</t>
  </si>
  <si>
    <t xml:space="preserve">Jornada </t>
  </si>
  <si>
    <t>Jornada 1</t>
  </si>
  <si>
    <t>Dia 3</t>
  </si>
  <si>
    <t>Dia 2</t>
  </si>
  <si>
    <t>Dia 1</t>
  </si>
  <si>
    <t>AURORA ISABEL CARRILLO GALEANO</t>
  </si>
  <si>
    <t>YURY MARIN QUINTERO</t>
  </si>
  <si>
    <t>AGOSTO</t>
  </si>
  <si>
    <t>1 DE AGOSTO A 31 DE AGOSTO</t>
  </si>
  <si>
    <t>CONSULTA EXTERNA</t>
  </si>
  <si>
    <t>J3</t>
  </si>
  <si>
    <r>
      <rPr>
        <b/>
        <sz val="14"/>
        <color indexed="8"/>
        <rFont val="Calibri"/>
        <family val="2"/>
      </rPr>
      <t>Fecha:</t>
    </r>
    <r>
      <rPr>
        <b/>
        <sz val="14"/>
        <color indexed="8"/>
        <rFont val="Calibri"/>
        <family val="2"/>
      </rPr>
      <t xml:space="preserve">  25-06-2018</t>
    </r>
  </si>
  <si>
    <r>
      <rPr>
        <b/>
        <sz val="14"/>
        <color indexed="8"/>
        <rFont val="Calibri"/>
        <family val="2"/>
      </rPr>
      <t xml:space="preserve">Versión:  </t>
    </r>
    <r>
      <rPr>
        <b/>
        <sz val="14"/>
        <color indexed="8"/>
        <rFont val="Calibri"/>
        <family val="2"/>
      </rPr>
      <t>02</t>
    </r>
  </si>
  <si>
    <t>FACTURACION</t>
  </si>
  <si>
    <t>DEL 01 AL 31 DE AGOSTO 2026</t>
  </si>
  <si>
    <t>PILAR ALEXANDRA VARGAS PINZON</t>
  </si>
  <si>
    <t>D6</t>
  </si>
  <si>
    <t>TATIANA MILENA PINEDA PULIDO</t>
  </si>
  <si>
    <t>ANGI VASCO</t>
  </si>
  <si>
    <t>PATRICIA CORDOBA</t>
  </si>
  <si>
    <t>D7</t>
  </si>
  <si>
    <t>VERIFICACION</t>
  </si>
  <si>
    <t>D4</t>
  </si>
  <si>
    <t>D5</t>
  </si>
  <si>
    <t>D8</t>
  </si>
  <si>
    <t>ELABORO:  YESID ALEXANDER RAMIREZ</t>
  </si>
  <si>
    <t xml:space="preserve">              TECNOLOGO DE FACTURACION</t>
  </si>
  <si>
    <t>SUPERNUMERARIA</t>
  </si>
  <si>
    <t>1 AL 31 DE AGOSTO 2026</t>
  </si>
  <si>
    <t>CAROL PAOLA CORREA BERMUDEZ</t>
  </si>
  <si>
    <t xml:space="preserve">DIA- URGENCIAS </t>
  </si>
  <si>
    <t>ELABORO: YESID ALEXANDER RAMIREZ</t>
  </si>
  <si>
    <t>AUDITORIA</t>
  </si>
  <si>
    <t>CRISTIAN ALEJANDRO SEPULVEDA ARDILA</t>
  </si>
  <si>
    <t>YESID ALEXANDER RAMIREZ</t>
  </si>
  <si>
    <t xml:space="preserve">            TECNOLOGO DE FACTURACION </t>
  </si>
  <si>
    <t>GLOSAS Y RADICACIÓN</t>
  </si>
  <si>
    <t>EDITH VALENTINA JIMENEZ FONSECA - GLOSAS</t>
  </si>
  <si>
    <t>EDWIN MAURICIO SANCHEZ - GLOSAS</t>
  </si>
  <si>
    <t>KAROL LIZETHE IBAÑEZ CAMPOS - GLOSAS</t>
  </si>
  <si>
    <t>SEBASTIAN CAMILO CUBILLOS MEJIA  - RADICACION</t>
  </si>
  <si>
    <t>MIREYA MARTINEZ - RADICACION</t>
  </si>
  <si>
    <t>GIOVANNY NICOLAS BUITRAGO SARMIENTO -  RADICACION</t>
  </si>
  <si>
    <t>D9</t>
  </si>
  <si>
    <t>Capacitación hasta 4</t>
  </si>
  <si>
    <t>ELABORO: EDITH VALENTINA JIMENEZ FONSECA</t>
  </si>
  <si>
    <t>Directora Facturación    .</t>
  </si>
  <si>
    <t>Tecnico de glosas</t>
  </si>
  <si>
    <t>Profesional Dirección de Operaciones y Estrategias de Innovación DOE</t>
  </si>
  <si>
    <t>APROBÓ:JAMILETH VARGAS SEPULVEDA</t>
  </si>
  <si>
    <t>APROBÓ: JAMILETH VARGAS SEPULVEDA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</si>
</sst>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h"/>
    <numFmt numFmtId="166" formatCode="[hh]:mm"/>
    <numFmt numFmtId="167" formatCode="h:mm:ss;@"/>
    <numFmt numFmtId="168" formatCode="#,##0.0"/>
  </numFmts>
  <fonts count="3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theme="1"/>
      <name val="Calibri"/>
      <family val="2"/>
      <scheme val="minor"/>
    </font>
    <font>
      <sz val="12"/>
      <color theme="1"/>
      <name val="Calibri"/>
      <family val="2"/>
      <scheme val="minor"/>
    </font>
    <font>
      <b/>
      <sz val="12"/>
      <color indexed="8"/>
      <name val="Calibri"/>
      <family val="2"/>
      <scheme val="minor"/>
    </font>
    <font>
      <sz val="12"/>
      <color indexed="8"/>
      <name val="Calibri"/>
      <family val="2"/>
      <scheme val="minor"/>
    </font>
    <font>
      <b/>
      <sz val="12"/>
      <color theme="1"/>
      <name val="Calibri"/>
      <family val="2"/>
    </font>
    <font>
      <b/>
      <sz val="12"/>
      <color theme="1"/>
      <name val="Calibri"/>
      <family val="2"/>
      <scheme val="minor"/>
    </font>
    <font>
      <sz val="14"/>
      <color theme="1"/>
      <name val="Calibri"/>
      <family val="2"/>
      <scheme val="minor"/>
    </font>
    <font>
      <b/>
      <sz val="12"/>
      <name val="Calibri"/>
      <family val="2"/>
    </font>
    <font>
      <b/>
      <sz val="12"/>
      <name val="Calibri"/>
      <family val="2"/>
      <scheme val="minor"/>
    </font>
    <font>
      <b/>
      <sz val="12"/>
      <color indexed="8"/>
      <name val="Calibri"/>
      <family val="2"/>
    </font>
    <font>
      <sz val="10"/>
      <color theme="1"/>
      <name val="Arial"/>
      <family val="2"/>
    </font>
    <font>
      <b/>
      <sz val="16"/>
      <name val="Calibri"/>
      <family val="2"/>
      <scheme val="minor"/>
    </font>
    <font>
      <b/>
      <sz val="20"/>
      <color theme="1"/>
      <name val="Calibri"/>
      <family val="2"/>
      <scheme val="minor"/>
    </font>
    <font>
      <b/>
      <sz val="14"/>
      <color indexed="8"/>
      <name val="Calibri"/>
      <family val="2"/>
    </font>
    <font>
      <b/>
      <sz val="20"/>
      <name val="Calibri"/>
      <family val="2"/>
      <scheme val="minor"/>
    </font>
    <font>
      <b/>
      <sz val="14"/>
      <color indexed="8"/>
      <name val="Calibri"/>
      <family val="2"/>
      <scheme val="minor"/>
    </font>
    <font>
      <b/>
      <sz val="10"/>
      <color indexed="8"/>
      <name val="Calibri"/>
      <family val="2"/>
      <scheme val="minor"/>
    </font>
    <font>
      <b/>
      <sz val="14"/>
      <color rgb="FFFF0000"/>
      <name val="Calibri"/>
      <family val="2"/>
      <scheme val="minor"/>
    </font>
    <font>
      <b/>
      <sz val="16"/>
      <color theme="1"/>
      <name val="Calibri"/>
      <family val="2"/>
    </font>
    <font>
      <b/>
      <sz val="16"/>
      <color theme="1"/>
      <name val="Calibri"/>
      <family val="2"/>
      <scheme val="minor"/>
    </font>
    <font>
      <b/>
      <sz val="14"/>
      <color theme="1"/>
      <name val="Calibri"/>
      <family val="2"/>
    </font>
    <font>
      <b/>
      <sz val="16"/>
      <color indexed="8"/>
      <name val="Calibri"/>
      <family val="2"/>
      <scheme val="minor"/>
    </font>
    <font>
      <b/>
      <sz val="16"/>
      <color rgb="FFFF0000"/>
      <name val="Calibri"/>
      <family val="2"/>
      <scheme val="minor"/>
    </font>
    <font>
      <sz val="16"/>
      <color indexed="8"/>
      <name val="Calibri"/>
      <family val="2"/>
      <scheme val="minor"/>
    </font>
    <font>
      <b/>
      <sz val="9"/>
      <color indexed="81"/>
      <name val="Tahoma"/>
      <family val="2"/>
    </font>
    <font>
      <sz val="9"/>
      <color indexed="81"/>
      <name val="Tahoma"/>
      <family val="2"/>
    </font>
  </fonts>
  <fills count="13">
    <fill>
      <patternFill patternType="none"/>
    </fill>
    <fill>
      <patternFill patternType="gray125"/>
    </fill>
    <fill>
      <patternFill patternType="solid">
        <fgColor theme="0" tint="-0.249977111117893"/>
        <bgColor indexed="23"/>
      </patternFill>
    </fill>
    <fill>
      <patternFill patternType="solid">
        <fgColor theme="0"/>
        <bgColor indexed="64"/>
      </patternFill>
    </fill>
    <fill>
      <patternFill patternType="solid">
        <fgColor indexed="9"/>
        <bgColor indexed="26"/>
      </patternFill>
    </fill>
    <fill>
      <patternFill patternType="solid">
        <fgColor rgb="FFFFFFFF"/>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0"/>
        <bgColor indexed="26"/>
      </patternFill>
    </fill>
    <fill>
      <patternFill patternType="solid">
        <fgColor theme="2"/>
        <bgColor indexed="26"/>
      </patternFill>
    </fill>
    <fill>
      <patternFill patternType="solid">
        <fgColor theme="6" tint="0.39997558519241921"/>
        <bgColor indexed="64"/>
      </patternFill>
    </fill>
    <fill>
      <patternFill patternType="solid">
        <fgColor theme="5" tint="0.39997558519241921"/>
        <bgColor indexed="64"/>
      </patternFill>
    </fill>
  </fills>
  <borders count="60">
    <border>
      <left/>
      <right/>
      <top/>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medium">
        <color auto="1"/>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style="medium">
        <color auto="1"/>
      </right>
      <top style="medium">
        <color auto="1"/>
      </top>
      <bottom/>
      <diagonal/>
    </border>
    <border>
      <left style="medium">
        <color auto="1"/>
      </left>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top style="medium">
        <color auto="1"/>
      </top>
      <bottom/>
      <diagonal/>
    </border>
    <border>
      <left style="thin">
        <color auto="1"/>
      </left>
      <right style="thin">
        <color auto="1"/>
      </right>
      <top style="medium">
        <color auto="1"/>
      </top>
      <bottom style="medium">
        <color auto="1"/>
      </bottom>
      <diagonal/>
    </border>
    <border>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style="medium">
        <color auto="1"/>
      </top>
      <bottom/>
      <diagonal/>
    </border>
    <border>
      <left style="medium">
        <color auto="1"/>
      </left>
      <right style="thin">
        <color auto="1"/>
      </right>
      <top style="thin">
        <color auto="1"/>
      </top>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right style="medium">
        <color auto="1"/>
      </right>
      <top style="medium">
        <color auto="1"/>
      </top>
      <bottom/>
      <diagonal/>
    </border>
    <border>
      <left style="medium">
        <color auto="1"/>
      </left>
      <right/>
      <top/>
      <bottom style="thin">
        <color auto="1"/>
      </bottom>
      <diagonal/>
    </border>
    <border>
      <left style="medium">
        <color auto="1"/>
      </left>
      <right style="medium">
        <color auto="1"/>
      </right>
      <top/>
      <bottom/>
      <diagonal/>
    </border>
    <border>
      <left/>
      <right style="medium">
        <color auto="1"/>
      </right>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thin">
        <color auto="1"/>
      </left>
      <right style="medium">
        <color auto="1"/>
      </right>
      <top/>
      <bottom style="thin">
        <color auto="1"/>
      </bottom>
      <diagonal/>
    </border>
    <border>
      <left/>
      <right/>
      <top/>
      <bottom style="medium">
        <color auto="1"/>
      </bottom>
      <diagonal/>
    </border>
  </borders>
  <cellStyleXfs count="114">
    <xf numFmtId="0" fontId="0"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cellStyleXfs>
  <cellXfs count="616">
    <xf numFmtId="0" fontId="0" fillId="0" borderId="0" xfId="0"/>
    <xf numFmtId="0" fontId="6" fillId="0" borderId="0" xfId="30" applyFont="1" applyAlignment="1">
      <alignment horizontal="center" vertical="center"/>
    </xf>
    <xf numFmtId="0" fontId="7" fillId="0" borderId="3" xfId="77" applyFont="1" applyBorder="1" applyAlignment="1">
      <alignment horizontal="center" vertical="center"/>
    </xf>
    <xf numFmtId="0" fontId="13" fillId="0" borderId="3" xfId="77" applyFont="1" applyBorder="1" applyAlignment="1">
      <alignment horizontal="center" vertical="center"/>
    </xf>
    <xf numFmtId="0" fontId="13" fillId="0" borderId="3" xfId="77" applyFont="1" applyBorder="1" applyAlignment="1">
      <alignment vertical="center"/>
    </xf>
    <xf numFmtId="0" fontId="10" fillId="0" borderId="3" xfId="37" applyFont="1" applyBorder="1" applyAlignment="1">
      <alignment vertical="center" wrapText="1"/>
    </xf>
    <xf numFmtId="0" fontId="14" fillId="0" borderId="3" xfId="37" applyFont="1" applyBorder="1" applyAlignment="1">
      <alignment vertical="center" wrapText="1"/>
    </xf>
    <xf numFmtId="0" fontId="10" fillId="0" borderId="3" xfId="37" applyFont="1" applyBorder="1" applyAlignment="1">
      <alignment horizontal="left" vertical="center"/>
    </xf>
    <xf numFmtId="0" fontId="7" fillId="0" borderId="3" xfId="78" applyFont="1" applyBorder="1" applyAlignment="1">
      <alignment horizontal="center" vertical="center"/>
    </xf>
    <xf numFmtId="0" fontId="7" fillId="0" borderId="5" xfId="76" applyFont="1" applyBorder="1" applyAlignment="1">
      <alignment horizontal="left" vertical="center"/>
    </xf>
    <xf numFmtId="0" fontId="7" fillId="0" borderId="8" xfId="76" applyFont="1" applyBorder="1" applyAlignment="1">
      <alignment horizontal="left" vertical="center"/>
    </xf>
    <xf numFmtId="0" fontId="7" fillId="0" borderId="4" xfId="76" applyFont="1" applyBorder="1" applyAlignment="1">
      <alignment horizontal="left" vertical="center"/>
    </xf>
    <xf numFmtId="0" fontId="13" fillId="0" borderId="3" xfId="79" applyFont="1" applyBorder="1" applyAlignment="1">
      <alignment horizontal="center" vertical="center"/>
    </xf>
    <xf numFmtId="0" fontId="6" fillId="0" borderId="0" xfId="80" applyFont="1" applyAlignment="1">
      <alignment vertical="center"/>
    </xf>
    <xf numFmtId="0" fontId="10" fillId="0" borderId="0" xfId="80" applyFont="1" applyAlignment="1">
      <alignment horizontal="center" vertical="center"/>
    </xf>
    <xf numFmtId="0" fontId="7" fillId="0" borderId="0" xfId="80" applyFont="1" applyAlignment="1">
      <alignment vertical="center"/>
    </xf>
    <xf numFmtId="0" fontId="7" fillId="0" borderId="0" xfId="81" applyFont="1" applyAlignment="1">
      <alignment vertical="center"/>
    </xf>
    <xf numFmtId="0" fontId="10" fillId="0" borderId="0" xfId="80" applyFont="1" applyAlignment="1">
      <alignment vertical="center"/>
    </xf>
    <xf numFmtId="0" fontId="12" fillId="0" borderId="3" xfId="81" applyFont="1" applyBorder="1" applyAlignment="1">
      <alignment horizontal="center" vertical="center"/>
    </xf>
    <xf numFmtId="0" fontId="12" fillId="7" borderId="3" xfId="81" applyFont="1" applyFill="1" applyBorder="1" applyAlignment="1">
      <alignment horizontal="center"/>
    </xf>
    <xf numFmtId="0" fontId="12" fillId="7" borderId="3" xfId="81" applyFont="1" applyFill="1" applyBorder="1" applyAlignment="1">
      <alignment horizontal="center" vertical="center"/>
    </xf>
    <xf numFmtId="0" fontId="13" fillId="0" borderId="3" xfId="81" applyFont="1" applyBorder="1" applyAlignment="1">
      <alignment vertical="center"/>
    </xf>
    <xf numFmtId="0" fontId="10" fillId="0" borderId="3" xfId="83" applyFont="1" applyBorder="1" applyAlignment="1">
      <alignment horizontal="center" vertical="center"/>
    </xf>
    <xf numFmtId="0" fontId="10" fillId="0" borderId="3" xfId="80" applyFont="1" applyBorder="1" applyAlignment="1">
      <alignment horizontal="center" vertical="center"/>
    </xf>
    <xf numFmtId="0" fontId="6" fillId="0" borderId="3" xfId="80" applyFont="1" applyBorder="1" applyAlignment="1">
      <alignment vertical="center"/>
    </xf>
    <xf numFmtId="0" fontId="13" fillId="3" borderId="3" xfId="81" applyFont="1" applyFill="1" applyBorder="1" applyAlignment="1">
      <alignment vertical="center"/>
    </xf>
    <xf numFmtId="0" fontId="13" fillId="0" borderId="0" xfId="81" applyFont="1" applyAlignment="1">
      <alignment vertical="center"/>
    </xf>
    <xf numFmtId="0" fontId="10" fillId="0" borderId="0" xfId="83" applyFont="1" applyAlignment="1">
      <alignment horizontal="center" vertical="center"/>
    </xf>
    <xf numFmtId="0" fontId="12" fillId="6" borderId="3" xfId="81" applyFont="1" applyFill="1" applyBorder="1" applyAlignment="1">
      <alignment horizontal="center"/>
    </xf>
    <xf numFmtId="0" fontId="10" fillId="0" borderId="3" xfId="80" applyFont="1" applyBorder="1" applyAlignment="1">
      <alignment vertical="center"/>
    </xf>
    <xf numFmtId="1" fontId="10" fillId="0" borderId="3" xfId="80" applyNumberFormat="1" applyFont="1" applyBorder="1" applyAlignment="1">
      <alignment horizontal="center" vertical="center"/>
    </xf>
    <xf numFmtId="0" fontId="7" fillId="3" borderId="3" xfId="80" applyFont="1" applyFill="1" applyBorder="1" applyAlignment="1">
      <alignment vertical="center"/>
    </xf>
    <xf numFmtId="0" fontId="10" fillId="6" borderId="3" xfId="80" applyFont="1" applyFill="1" applyBorder="1" applyAlignment="1">
      <alignment horizontal="center" vertical="center"/>
    </xf>
    <xf numFmtId="3" fontId="10" fillId="0" borderId="3" xfId="80" applyNumberFormat="1" applyFont="1" applyBorder="1" applyAlignment="1">
      <alignment horizontal="center" vertical="center"/>
    </xf>
    <xf numFmtId="1" fontId="10" fillId="4" borderId="3" xfId="80" applyNumberFormat="1" applyFont="1" applyFill="1" applyBorder="1" applyAlignment="1">
      <alignment horizontal="center" vertical="center"/>
    </xf>
    <xf numFmtId="0" fontId="6" fillId="4" borderId="0" xfId="80" applyFont="1" applyFill="1" applyAlignment="1">
      <alignment vertical="center"/>
    </xf>
    <xf numFmtId="0" fontId="7" fillId="4" borderId="0" xfId="80" applyFont="1" applyFill="1" applyAlignment="1">
      <alignment horizontal="left" wrapText="1"/>
    </xf>
    <xf numFmtId="0" fontId="7" fillId="4" borderId="0" xfId="80" applyFont="1" applyFill="1" applyAlignment="1">
      <alignment horizontal="left" vertical="center" wrapText="1"/>
    </xf>
    <xf numFmtId="0" fontId="7" fillId="4" borderId="0" xfId="80" applyFont="1" applyFill="1" applyAlignment="1">
      <alignment horizontal="left" vertical="center"/>
    </xf>
    <xf numFmtId="0" fontId="7" fillId="4" borderId="0" xfId="80" applyFont="1" applyFill="1" applyAlignment="1">
      <alignment horizontal="center" vertical="center"/>
    </xf>
    <xf numFmtId="1" fontId="7" fillId="4" borderId="0" xfId="80" applyNumberFormat="1" applyFont="1" applyFill="1" applyAlignment="1">
      <alignment horizontal="center" vertical="center"/>
    </xf>
    <xf numFmtId="0" fontId="7" fillId="4" borderId="0" xfId="80" applyFont="1" applyFill="1" applyAlignment="1">
      <alignment vertical="center"/>
    </xf>
    <xf numFmtId="1" fontId="7" fillId="0" borderId="0" xfId="80" applyNumberFormat="1" applyFont="1" applyAlignment="1">
      <alignment vertical="center" wrapText="1"/>
    </xf>
    <xf numFmtId="0" fontId="7" fillId="0" borderId="0" xfId="80" applyFont="1" applyAlignment="1">
      <alignment vertical="center" wrapText="1"/>
    </xf>
    <xf numFmtId="0" fontId="13" fillId="0" borderId="3" xfId="81" applyFont="1" applyBorder="1" applyAlignment="1">
      <alignment horizontal="center" vertical="center"/>
    </xf>
    <xf numFmtId="167" fontId="7" fillId="4" borderId="0" xfId="80" applyNumberFormat="1" applyFont="1" applyFill="1" applyAlignment="1">
      <alignment vertical="center"/>
    </xf>
    <xf numFmtId="0" fontId="7" fillId="0" borderId="0" xfId="80" applyFont="1" applyAlignment="1">
      <alignment horizontal="center" vertical="center"/>
    </xf>
    <xf numFmtId="1" fontId="7" fillId="0" borderId="0" xfId="80" applyNumberFormat="1" applyFont="1" applyAlignment="1">
      <alignment vertical="center"/>
    </xf>
    <xf numFmtId="0" fontId="7" fillId="0" borderId="3" xfId="80" applyFont="1" applyBorder="1" applyAlignment="1">
      <alignment horizontal="center" vertical="center"/>
    </xf>
    <xf numFmtId="167" fontId="7" fillId="4" borderId="0" xfId="80" applyNumberFormat="1" applyFont="1" applyFill="1" applyAlignment="1">
      <alignment horizontal="center" vertical="center"/>
    </xf>
    <xf numFmtId="0" fontId="8" fillId="4" borderId="0" xfId="80" applyFont="1" applyFill="1" applyAlignment="1">
      <alignment horizontal="center" vertical="center"/>
    </xf>
    <xf numFmtId="0" fontId="7" fillId="0" borderId="3" xfId="81" applyFont="1" applyBorder="1" applyAlignment="1">
      <alignment horizontal="center" vertical="center"/>
    </xf>
    <xf numFmtId="0" fontId="7" fillId="0" borderId="0" xfId="81" applyFont="1" applyAlignment="1">
      <alignment horizontal="center" vertical="center"/>
    </xf>
    <xf numFmtId="0" fontId="7" fillId="0" borderId="0" xfId="81" applyFont="1" applyAlignment="1">
      <alignment horizontal="left" vertical="center"/>
    </xf>
    <xf numFmtId="3" fontId="7" fillId="0" borderId="0" xfId="84" applyNumberFormat="1" applyFont="1" applyFill="1" applyBorder="1" applyAlignment="1" applyProtection="1">
      <alignment horizontal="center" vertical="center"/>
    </xf>
    <xf numFmtId="0" fontId="6" fillId="0" borderId="0" xfId="80" applyFont="1" applyAlignment="1">
      <alignment horizontal="center" vertical="center"/>
    </xf>
    <xf numFmtId="0" fontId="6" fillId="0" borderId="0" xfId="85" applyFont="1" applyAlignment="1">
      <alignment vertical="center"/>
    </xf>
    <xf numFmtId="0" fontId="8" fillId="4" borderId="0" xfId="85" applyFont="1" applyFill="1" applyAlignment="1">
      <alignment horizontal="center" vertical="center"/>
    </xf>
    <xf numFmtId="0" fontId="6" fillId="0" borderId="0" xfId="81" applyFont="1" applyAlignment="1">
      <alignment vertical="center"/>
    </xf>
    <xf numFmtId="0" fontId="6" fillId="0" borderId="7" xfId="87" applyFont="1" applyBorder="1" applyAlignment="1">
      <alignment horizontal="center" vertical="center"/>
    </xf>
    <xf numFmtId="0" fontId="6" fillId="0" borderId="0" xfId="87" applyFont="1" applyAlignment="1">
      <alignment horizontal="center" vertical="center"/>
    </xf>
    <xf numFmtId="0" fontId="6" fillId="0" borderId="0" xfId="87" applyFont="1" applyAlignment="1">
      <alignment vertical="center"/>
    </xf>
    <xf numFmtId="0" fontId="8" fillId="4" borderId="7" xfId="85" applyFont="1" applyFill="1" applyBorder="1" applyAlignment="1">
      <alignment horizontal="center" vertical="center" wrapText="1"/>
    </xf>
    <xf numFmtId="0" fontId="6" fillId="0" borderId="7" xfId="80" applyFont="1" applyBorder="1" applyAlignment="1">
      <alignment vertical="center"/>
    </xf>
    <xf numFmtId="0" fontId="5" fillId="0" borderId="0" xfId="87" applyFont="1" applyAlignment="1">
      <alignment horizontal="center" vertical="center"/>
    </xf>
    <xf numFmtId="0" fontId="10" fillId="0" borderId="0" xfId="87" applyFont="1" applyAlignment="1">
      <alignment horizontal="center" vertical="center"/>
    </xf>
    <xf numFmtId="0" fontId="10" fillId="0" borderId="0" xfId="87" applyFont="1" applyAlignment="1">
      <alignment vertical="center"/>
    </xf>
    <xf numFmtId="0" fontId="10" fillId="0" borderId="0" xfId="87" applyFont="1" applyAlignment="1">
      <alignment horizontal="left" vertical="center"/>
    </xf>
    <xf numFmtId="0" fontId="11" fillId="0" borderId="0" xfId="81" applyFont="1" applyAlignment="1">
      <alignment horizontal="center" vertical="center" wrapText="1"/>
    </xf>
    <xf numFmtId="0" fontId="6" fillId="0" borderId="0" xfId="87" applyFont="1" applyAlignment="1">
      <alignment horizontal="left" vertical="center"/>
    </xf>
    <xf numFmtId="0" fontId="10" fillId="0" borderId="0" xfId="81" applyFont="1" applyAlignment="1">
      <alignment horizontal="center" vertical="center"/>
    </xf>
    <xf numFmtId="0" fontId="11" fillId="0" borderId="0" xfId="81" applyFont="1" applyAlignment="1">
      <alignment vertical="center"/>
    </xf>
    <xf numFmtId="0" fontId="11" fillId="0" borderId="0" xfId="81" applyFont="1" applyAlignment="1">
      <alignment vertical="center" wrapText="1"/>
    </xf>
    <xf numFmtId="0" fontId="2" fillId="0" borderId="0" xfId="85" applyAlignment="1">
      <alignment vertical="center"/>
    </xf>
    <xf numFmtId="0" fontId="2" fillId="0" borderId="0" xfId="85" applyAlignment="1">
      <alignment horizontal="center" vertical="center"/>
    </xf>
    <xf numFmtId="0" fontId="12" fillId="0" borderId="3" xfId="81" applyFont="1" applyBorder="1" applyAlignment="1">
      <alignment horizontal="center"/>
    </xf>
    <xf numFmtId="0" fontId="7" fillId="0" borderId="0" xfId="77" applyFont="1" applyAlignment="1">
      <alignment horizontal="center" vertical="center"/>
    </xf>
    <xf numFmtId="0" fontId="7" fillId="0" borderId="0" xfId="77" applyFont="1" applyAlignment="1">
      <alignment horizontal="left" vertical="center"/>
    </xf>
    <xf numFmtId="3" fontId="7" fillId="0" borderId="0" xfId="75" applyNumberFormat="1" applyFont="1" applyFill="1" applyBorder="1" applyAlignment="1" applyProtection="1">
      <alignment horizontal="center" vertical="center"/>
    </xf>
    <xf numFmtId="0" fontId="7" fillId="4" borderId="0" xfId="80" applyFont="1" applyFill="1" applyAlignment="1">
      <alignment vertical="center" wrapText="1"/>
    </xf>
    <xf numFmtId="0" fontId="1" fillId="0" borderId="0" xfId="93" applyAlignment="1">
      <alignment vertical="center"/>
    </xf>
    <xf numFmtId="0" fontId="1" fillId="0" borderId="2" xfId="93" applyBorder="1" applyAlignment="1">
      <alignment horizontal="center" vertical="center"/>
    </xf>
    <xf numFmtId="0" fontId="17" fillId="0" borderId="2" xfId="93" applyFont="1" applyBorder="1" applyAlignment="1">
      <alignment horizontal="center" vertical="center"/>
    </xf>
    <xf numFmtId="0" fontId="5" fillId="0" borderId="3" xfId="41" applyFont="1" applyBorder="1" applyAlignment="1">
      <alignment horizontal="left" vertical="center"/>
    </xf>
    <xf numFmtId="0" fontId="1" fillId="0" borderId="0" xfId="94"/>
    <xf numFmtId="0" fontId="1" fillId="0" borderId="0" xfId="93" applyAlignment="1">
      <alignment horizontal="center" vertical="center"/>
    </xf>
    <xf numFmtId="0" fontId="17" fillId="0" borderId="0" xfId="93" applyFont="1" applyAlignment="1">
      <alignment horizontal="center" vertical="center"/>
    </xf>
    <xf numFmtId="0" fontId="19" fillId="0" borderId="0" xfId="93" applyFont="1" applyAlignment="1">
      <alignment vertical="center"/>
    </xf>
    <xf numFmtId="0" fontId="1" fillId="0" borderId="7" xfId="93" applyBorder="1" applyAlignment="1">
      <alignment horizontal="center" vertical="center"/>
    </xf>
    <xf numFmtId="0" fontId="17" fillId="0" borderId="7" xfId="93" applyFont="1" applyBorder="1" applyAlignment="1">
      <alignment horizontal="center" vertical="center"/>
    </xf>
    <xf numFmtId="0" fontId="6" fillId="0" borderId="0" xfId="93" applyFont="1" applyAlignment="1">
      <alignment vertical="center"/>
    </xf>
    <xf numFmtId="0" fontId="20" fillId="0" borderId="0" xfId="93" applyFont="1" applyAlignment="1">
      <alignment vertical="center"/>
    </xf>
    <xf numFmtId="0" fontId="20" fillId="0" borderId="0" xfId="95" applyFont="1" applyAlignment="1">
      <alignment vertical="center"/>
    </xf>
    <xf numFmtId="0" fontId="7" fillId="0" borderId="0" xfId="96" applyFont="1" applyAlignment="1">
      <alignment vertical="center"/>
    </xf>
    <xf numFmtId="0" fontId="6" fillId="0" borderId="0" xfId="96" applyFont="1" applyAlignment="1">
      <alignment vertical="center"/>
    </xf>
    <xf numFmtId="0" fontId="20" fillId="0" borderId="0" xfId="96" applyFont="1" applyAlignment="1">
      <alignment vertical="center"/>
    </xf>
    <xf numFmtId="0" fontId="5" fillId="0" borderId="0" xfId="96" applyFont="1" applyAlignment="1">
      <alignment vertical="center"/>
    </xf>
    <xf numFmtId="0" fontId="8" fillId="0" borderId="0" xfId="96" applyFont="1" applyAlignment="1">
      <alignment vertical="center"/>
    </xf>
    <xf numFmtId="3" fontId="9" fillId="2" borderId="16" xfId="94" applyNumberFormat="1" applyFont="1" applyFill="1" applyBorder="1" applyAlignment="1">
      <alignment horizontal="right" vertical="center"/>
    </xf>
    <xf numFmtId="3" fontId="9" fillId="2" borderId="20" xfId="94" applyNumberFormat="1" applyFont="1" applyFill="1" applyBorder="1" applyAlignment="1">
      <alignment vertical="center"/>
    </xf>
    <xf numFmtId="0" fontId="10" fillId="0" borderId="0" xfId="93" applyFont="1" applyAlignment="1">
      <alignment vertical="center"/>
    </xf>
    <xf numFmtId="0" fontId="11" fillId="0" borderId="0" xfId="93" applyFont="1" applyAlignment="1">
      <alignment vertical="center"/>
    </xf>
    <xf numFmtId="0" fontId="12" fillId="8" borderId="22" xfId="94" applyFont="1" applyFill="1" applyBorder="1" applyAlignment="1">
      <alignment horizontal="center"/>
    </xf>
    <xf numFmtId="0" fontId="12" fillId="8" borderId="23" xfId="94" applyFont="1" applyFill="1" applyBorder="1" applyAlignment="1">
      <alignment horizontal="center"/>
    </xf>
    <xf numFmtId="0" fontId="12" fillId="0" borderId="23" xfId="94" applyFont="1" applyBorder="1" applyAlignment="1">
      <alignment horizontal="center" vertical="center"/>
    </xf>
    <xf numFmtId="0" fontId="12" fillId="0" borderId="23" xfId="94" applyFont="1" applyBorder="1" applyAlignment="1">
      <alignment horizontal="center"/>
    </xf>
    <xf numFmtId="0" fontId="12" fillId="8" borderId="26" xfId="94" applyFont="1" applyFill="1" applyBorder="1" applyAlignment="1">
      <alignment horizontal="center" vertical="center"/>
    </xf>
    <xf numFmtId="0" fontId="12" fillId="8" borderId="3" xfId="94" applyFont="1" applyFill="1" applyBorder="1" applyAlignment="1">
      <alignment horizontal="center"/>
    </xf>
    <xf numFmtId="0" fontId="12" fillId="0" borderId="3" xfId="94" applyFont="1" applyBorder="1" applyAlignment="1">
      <alignment horizontal="center"/>
    </xf>
    <xf numFmtId="0" fontId="12" fillId="0" borderId="3" xfId="94" applyFont="1" applyBorder="1" applyAlignment="1">
      <alignment horizontal="center" vertical="center"/>
    </xf>
    <xf numFmtId="0" fontId="12" fillId="8" borderId="3" xfId="94" applyFont="1" applyFill="1" applyBorder="1" applyAlignment="1">
      <alignment horizontal="center" vertical="center"/>
    </xf>
    <xf numFmtId="3" fontId="13" fillId="0" borderId="3" xfId="94" applyNumberFormat="1" applyFont="1" applyBorder="1" applyAlignment="1">
      <alignment horizontal="center" vertical="center"/>
    </xf>
    <xf numFmtId="0" fontId="10" fillId="0" borderId="25" xfId="93" applyFont="1" applyBorder="1" applyAlignment="1">
      <alignment vertical="center"/>
    </xf>
    <xf numFmtId="3" fontId="13" fillId="0" borderId="26" xfId="94" applyNumberFormat="1" applyFont="1" applyBorder="1" applyAlignment="1">
      <alignment horizontal="center" vertical="center"/>
    </xf>
    <xf numFmtId="15" fontId="13" fillId="0" borderId="3" xfId="94" applyNumberFormat="1" applyFont="1" applyBorder="1" applyAlignment="1">
      <alignment horizontal="center" vertical="center"/>
    </xf>
    <xf numFmtId="3" fontId="13" fillId="3" borderId="3" xfId="94" applyNumberFormat="1" applyFont="1" applyFill="1" applyBorder="1" applyAlignment="1">
      <alignment horizontal="center" vertical="center"/>
    </xf>
    <xf numFmtId="0" fontId="10" fillId="0" borderId="3" xfId="93" applyFont="1" applyBorder="1" applyAlignment="1">
      <alignment horizontal="center" vertical="center"/>
    </xf>
    <xf numFmtId="0" fontId="5" fillId="0" borderId="27" xfId="93" applyFont="1" applyBorder="1" applyAlignment="1">
      <alignment horizontal="center" vertical="center"/>
    </xf>
    <xf numFmtId="0" fontId="10" fillId="0" borderId="28" xfId="93" applyFont="1" applyBorder="1" applyAlignment="1">
      <alignment vertical="center"/>
    </xf>
    <xf numFmtId="3" fontId="13" fillId="0" borderId="29" xfId="94" applyNumberFormat="1" applyFont="1" applyBorder="1" applyAlignment="1">
      <alignment horizontal="center" vertical="center"/>
    </xf>
    <xf numFmtId="3" fontId="13" fillId="0" borderId="30" xfId="94" applyNumberFormat="1" applyFont="1" applyBorder="1" applyAlignment="1">
      <alignment horizontal="center" vertical="center"/>
    </xf>
    <xf numFmtId="3" fontId="13" fillId="3" borderId="30" xfId="94" applyNumberFormat="1" applyFont="1" applyFill="1" applyBorder="1" applyAlignment="1">
      <alignment horizontal="center" vertical="center"/>
    </xf>
    <xf numFmtId="0" fontId="10" fillId="0" borderId="30" xfId="93" applyFont="1" applyBorder="1" applyAlignment="1">
      <alignment horizontal="center" vertical="center"/>
    </xf>
    <xf numFmtId="0" fontId="5" fillId="0" borderId="31" xfId="93" applyFont="1" applyBorder="1" applyAlignment="1">
      <alignment horizontal="center" vertical="center"/>
    </xf>
    <xf numFmtId="0" fontId="10" fillId="3" borderId="0" xfId="93" applyFont="1" applyFill="1" applyAlignment="1">
      <alignment vertical="center"/>
    </xf>
    <xf numFmtId="3" fontId="9" fillId="2" borderId="32" xfId="94" applyNumberFormat="1" applyFont="1" applyFill="1" applyBorder="1" applyAlignment="1">
      <alignment horizontal="right" vertical="center"/>
    </xf>
    <xf numFmtId="3" fontId="9" fillId="2" borderId="36" xfId="94" applyNumberFormat="1" applyFont="1" applyFill="1" applyBorder="1" applyAlignment="1">
      <alignment vertical="center"/>
    </xf>
    <xf numFmtId="0" fontId="12" fillId="8" borderId="26" xfId="94" applyFont="1" applyFill="1" applyBorder="1" applyAlignment="1">
      <alignment horizontal="center"/>
    </xf>
    <xf numFmtId="3" fontId="5" fillId="0" borderId="27" xfId="93" applyNumberFormat="1" applyFont="1" applyBorder="1" applyAlignment="1">
      <alignment horizontal="center" vertical="center"/>
    </xf>
    <xf numFmtId="1" fontId="1" fillId="0" borderId="0" xfId="94" applyNumberFormat="1"/>
    <xf numFmtId="0" fontId="6" fillId="4" borderId="0" xfId="93" applyFont="1" applyFill="1" applyAlignment="1">
      <alignment vertical="center"/>
    </xf>
    <xf numFmtId="0" fontId="7" fillId="3" borderId="28" xfId="93" applyFont="1" applyFill="1" applyBorder="1" applyAlignment="1">
      <alignment vertical="center"/>
    </xf>
    <xf numFmtId="0" fontId="12" fillId="8" borderId="29" xfId="94" applyFont="1" applyFill="1" applyBorder="1" applyAlignment="1">
      <alignment horizontal="center"/>
    </xf>
    <xf numFmtId="0" fontId="12" fillId="8" borderId="30" xfId="94" applyFont="1" applyFill="1" applyBorder="1" applyAlignment="1">
      <alignment horizontal="center"/>
    </xf>
    <xf numFmtId="0" fontId="12" fillId="0" borderId="30" xfId="94" applyFont="1" applyBorder="1" applyAlignment="1">
      <alignment horizontal="center"/>
    </xf>
    <xf numFmtId="0" fontId="12" fillId="3" borderId="30" xfId="94" applyFont="1" applyFill="1" applyBorder="1" applyAlignment="1">
      <alignment horizontal="center"/>
    </xf>
    <xf numFmtId="0" fontId="14" fillId="0" borderId="30" xfId="97" applyFont="1" applyBorder="1" applyAlignment="1">
      <alignment horizontal="center" vertical="center"/>
    </xf>
    <xf numFmtId="1" fontId="20" fillId="0" borderId="31" xfId="94" applyNumberFormat="1" applyFont="1" applyBorder="1" applyAlignment="1">
      <alignment horizontal="center" vertical="center"/>
    </xf>
    <xf numFmtId="0" fontId="10" fillId="4" borderId="0" xfId="93" applyFont="1" applyFill="1" applyAlignment="1">
      <alignment vertical="center"/>
    </xf>
    <xf numFmtId="0" fontId="21" fillId="4" borderId="0" xfId="93" applyFont="1" applyFill="1" applyAlignment="1">
      <alignment vertical="center" wrapText="1"/>
    </xf>
    <xf numFmtId="0" fontId="7" fillId="4" borderId="0" xfId="93" applyFont="1" applyFill="1" applyAlignment="1">
      <alignment vertical="center" wrapText="1"/>
    </xf>
    <xf numFmtId="0" fontId="7" fillId="4" borderId="0" xfId="93" applyFont="1" applyFill="1" applyAlignment="1">
      <alignment vertical="center"/>
    </xf>
    <xf numFmtId="0" fontId="7" fillId="4" borderId="0" xfId="93" applyFont="1" applyFill="1" applyAlignment="1">
      <alignment horizontal="center" vertical="center"/>
    </xf>
    <xf numFmtId="0" fontId="7" fillId="0" borderId="0" xfId="93" applyFont="1" applyAlignment="1">
      <alignment horizontal="center" vertical="center"/>
    </xf>
    <xf numFmtId="0" fontId="7" fillId="0" borderId="0" xfId="93" applyFont="1" applyAlignment="1">
      <alignment vertical="center" wrapText="1"/>
    </xf>
    <xf numFmtId="0" fontId="7" fillId="4" borderId="3" xfId="93" applyFont="1" applyFill="1" applyBorder="1" applyAlignment="1">
      <alignment vertical="center"/>
    </xf>
    <xf numFmtId="166" fontId="20" fillId="4" borderId="3" xfId="93" applyNumberFormat="1" applyFont="1" applyFill="1" applyBorder="1" applyAlignment="1">
      <alignment horizontal="center" vertical="center"/>
    </xf>
    <xf numFmtId="166" fontId="20" fillId="0" borderId="3" xfId="93" applyNumberFormat="1" applyFont="1" applyBorder="1" applyAlignment="1">
      <alignment horizontal="center" vertical="center"/>
    </xf>
    <xf numFmtId="0" fontId="7" fillId="0" borderId="0" xfId="93" applyFont="1" applyAlignment="1">
      <alignment vertical="center"/>
    </xf>
    <xf numFmtId="0" fontId="7" fillId="0" borderId="0" xfId="94" applyFont="1" applyAlignment="1">
      <alignment horizontal="left" vertical="center"/>
    </xf>
    <xf numFmtId="3" fontId="7" fillId="0" borderId="0" xfId="98" applyNumberFormat="1" applyFont="1" applyFill="1" applyBorder="1" applyAlignment="1" applyProtection="1">
      <alignment horizontal="center" vertical="center"/>
    </xf>
    <xf numFmtId="0" fontId="8" fillId="4" borderId="0" xfId="93" applyFont="1" applyFill="1" applyAlignment="1">
      <alignment horizontal="center" vertical="center"/>
    </xf>
    <xf numFmtId="0" fontId="8" fillId="4" borderId="0" xfId="93" applyFont="1" applyFill="1" applyAlignment="1">
      <alignment horizontal="center" vertical="center" wrapText="1"/>
    </xf>
    <xf numFmtId="0" fontId="8" fillId="0" borderId="0" xfId="93" applyFont="1" applyAlignment="1">
      <alignment vertical="center"/>
    </xf>
    <xf numFmtId="0" fontId="6" fillId="0" borderId="0" xfId="93" applyFont="1" applyAlignment="1">
      <alignment horizontal="center" vertical="center"/>
    </xf>
    <xf numFmtId="0" fontId="6" fillId="0" borderId="0" xfId="94" applyFont="1" applyAlignment="1">
      <alignment vertical="center"/>
    </xf>
    <xf numFmtId="0" fontId="6" fillId="0" borderId="7" xfId="94" applyFont="1" applyBorder="1" applyAlignment="1">
      <alignment horizontal="center" vertical="center"/>
    </xf>
    <xf numFmtId="0" fontId="6" fillId="0" borderId="0" xfId="94" applyFont="1" applyAlignment="1">
      <alignment horizontal="center" vertical="center"/>
    </xf>
    <xf numFmtId="0" fontId="8" fillId="4" borderId="7" xfId="93" applyFont="1" applyFill="1" applyBorder="1" applyAlignment="1">
      <alignment horizontal="center" vertical="center" wrapText="1"/>
    </xf>
    <xf numFmtId="0" fontId="8" fillId="0" borderId="7" xfId="93" applyFont="1" applyBorder="1" applyAlignment="1">
      <alignment horizontal="center" vertical="center" wrapText="1"/>
    </xf>
    <xf numFmtId="0" fontId="8" fillId="4" borderId="0" xfId="99" applyFont="1" applyFill="1" applyAlignment="1">
      <alignment horizontal="center" vertical="center"/>
    </xf>
    <xf numFmtId="0" fontId="6" fillId="0" borderId="7" xfId="93" applyFont="1" applyBorder="1" applyAlignment="1">
      <alignment horizontal="center" vertical="center"/>
    </xf>
    <xf numFmtId="0" fontId="10" fillId="0" borderId="0" xfId="94" applyFont="1" applyAlignment="1">
      <alignment horizontal="center" vertical="center"/>
    </xf>
    <xf numFmtId="0" fontId="5" fillId="0" borderId="0" xfId="100" applyFont="1" applyAlignment="1">
      <alignment horizontal="center" vertical="center"/>
    </xf>
    <xf numFmtId="0" fontId="10" fillId="0" borderId="0" xfId="94" applyFont="1" applyAlignment="1">
      <alignment vertical="center"/>
    </xf>
    <xf numFmtId="0" fontId="5" fillId="0" borderId="0" xfId="100" applyFont="1" applyAlignment="1">
      <alignment horizontal="left" vertical="center"/>
    </xf>
    <xf numFmtId="0" fontId="11" fillId="0" borderId="0" xfId="100" applyFont="1" applyAlignment="1">
      <alignment horizontal="left" vertical="center"/>
    </xf>
    <xf numFmtId="0" fontId="6" fillId="0" borderId="0" xfId="99" applyFont="1" applyAlignment="1">
      <alignment vertical="center"/>
    </xf>
    <xf numFmtId="0" fontId="1" fillId="0" borderId="0" xfId="101" applyAlignment="1">
      <alignment vertical="center"/>
    </xf>
    <xf numFmtId="0" fontId="1" fillId="0" borderId="2" xfId="101" applyBorder="1" applyAlignment="1">
      <alignment horizontal="center" vertical="center"/>
    </xf>
    <xf numFmtId="0" fontId="17" fillId="0" borderId="2" xfId="101" applyFont="1" applyBorder="1" applyAlignment="1">
      <alignment horizontal="center" vertical="center"/>
    </xf>
    <xf numFmtId="0" fontId="1" fillId="0" borderId="0" xfId="102"/>
    <xf numFmtId="0" fontId="1" fillId="0" borderId="0" xfId="101" applyAlignment="1">
      <alignment horizontal="center" vertical="center"/>
    </xf>
    <xf numFmtId="0" fontId="17" fillId="0" borderId="0" xfId="101" applyFont="1" applyAlignment="1">
      <alignment horizontal="center" vertical="center"/>
    </xf>
    <xf numFmtId="0" fontId="19" fillId="0" borderId="0" xfId="101" applyFont="1" applyAlignment="1">
      <alignment vertical="center"/>
    </xf>
    <xf numFmtId="0" fontId="1" fillId="0" borderId="7" xfId="101" applyBorder="1" applyAlignment="1">
      <alignment horizontal="center" vertical="center"/>
    </xf>
    <xf numFmtId="0" fontId="17" fillId="0" borderId="7" xfId="101" applyFont="1" applyBorder="1" applyAlignment="1">
      <alignment horizontal="center" vertical="center"/>
    </xf>
    <xf numFmtId="0" fontId="6" fillId="0" borderId="0" xfId="101" applyFont="1" applyAlignment="1">
      <alignment vertical="center"/>
    </xf>
    <xf numFmtId="0" fontId="20" fillId="0" borderId="0" xfId="101" applyFont="1" applyAlignment="1">
      <alignment vertical="center"/>
    </xf>
    <xf numFmtId="0" fontId="20" fillId="0" borderId="0" xfId="102" applyFont="1" applyAlignment="1">
      <alignment vertical="center"/>
    </xf>
    <xf numFmtId="0" fontId="7" fillId="0" borderId="0" xfId="101" applyFont="1" applyAlignment="1">
      <alignment vertical="center"/>
    </xf>
    <xf numFmtId="0" fontId="5" fillId="0" borderId="0" xfId="101" applyFont="1" applyAlignment="1">
      <alignment vertical="center"/>
    </xf>
    <xf numFmtId="0" fontId="8" fillId="0" borderId="0" xfId="101" applyFont="1" applyAlignment="1">
      <alignment vertical="center"/>
    </xf>
    <xf numFmtId="3" fontId="9" fillId="2" borderId="39" xfId="102" applyNumberFormat="1" applyFont="1" applyFill="1" applyBorder="1" applyAlignment="1">
      <alignment horizontal="center" vertical="center"/>
    </xf>
    <xf numFmtId="3" fontId="9" fillId="2" borderId="41" xfId="102" applyNumberFormat="1" applyFont="1" applyFill="1" applyBorder="1" applyAlignment="1">
      <alignment vertical="center"/>
    </xf>
    <xf numFmtId="0" fontId="10" fillId="0" borderId="0" xfId="101" applyFont="1" applyAlignment="1">
      <alignment vertical="center"/>
    </xf>
    <xf numFmtId="0" fontId="11" fillId="0" borderId="0" xfId="101" applyFont="1" applyAlignment="1">
      <alignment vertical="center"/>
    </xf>
    <xf numFmtId="0" fontId="12" fillId="8" borderId="23" xfId="102" applyFont="1" applyFill="1" applyBorder="1" applyAlignment="1">
      <alignment horizontal="center"/>
    </xf>
    <xf numFmtId="0" fontId="12" fillId="0" borderId="23" xfId="102" applyFont="1" applyBorder="1" applyAlignment="1">
      <alignment horizontal="center" vertical="center"/>
    </xf>
    <xf numFmtId="0" fontId="12" fillId="0" borderId="23" xfId="102" applyFont="1" applyBorder="1" applyAlignment="1">
      <alignment horizontal="center"/>
    </xf>
    <xf numFmtId="0" fontId="12" fillId="8" borderId="3" xfId="102" applyFont="1" applyFill="1" applyBorder="1" applyAlignment="1">
      <alignment horizontal="center" vertical="center"/>
    </xf>
    <xf numFmtId="0" fontId="12" fillId="8" borderId="3" xfId="102" applyFont="1" applyFill="1" applyBorder="1" applyAlignment="1">
      <alignment horizontal="center"/>
    </xf>
    <xf numFmtId="0" fontId="12" fillId="0" borderId="3" xfId="102" applyFont="1" applyBorder="1" applyAlignment="1">
      <alignment horizontal="center"/>
    </xf>
    <xf numFmtId="0" fontId="12" fillId="0" borderId="3" xfId="102" applyFont="1" applyBorder="1" applyAlignment="1">
      <alignment horizontal="center" vertical="center"/>
    </xf>
    <xf numFmtId="3" fontId="13" fillId="0" borderId="3" xfId="102" applyNumberFormat="1" applyFont="1" applyBorder="1" applyAlignment="1">
      <alignment horizontal="center" vertical="center"/>
    </xf>
    <xf numFmtId="0" fontId="10" fillId="0" borderId="28" xfId="101" applyFont="1" applyBorder="1" applyAlignment="1">
      <alignment vertical="center"/>
    </xf>
    <xf numFmtId="3" fontId="13" fillId="0" borderId="30" xfId="102" applyNumberFormat="1" applyFont="1" applyBorder="1" applyAlignment="1">
      <alignment horizontal="center" vertical="center"/>
    </xf>
    <xf numFmtId="0" fontId="7" fillId="0" borderId="30" xfId="101" applyFont="1" applyBorder="1" applyAlignment="1">
      <alignment horizontal="center" vertical="center"/>
    </xf>
    <xf numFmtId="3" fontId="13" fillId="3" borderId="30" xfId="102" applyNumberFormat="1" applyFont="1" applyFill="1" applyBorder="1" applyAlignment="1">
      <alignment horizontal="center" vertical="center"/>
    </xf>
    <xf numFmtId="0" fontId="5" fillId="0" borderId="31" xfId="101" applyFont="1" applyBorder="1" applyAlignment="1">
      <alignment horizontal="center" vertical="center"/>
    </xf>
    <xf numFmtId="0" fontId="10" fillId="3" borderId="0" xfId="101" applyFont="1" applyFill="1" applyAlignment="1">
      <alignment vertical="center"/>
    </xf>
    <xf numFmtId="3" fontId="10" fillId="0" borderId="0" xfId="101" applyNumberFormat="1" applyFont="1" applyAlignment="1">
      <alignment vertical="center"/>
    </xf>
    <xf numFmtId="3" fontId="9" fillId="2" borderId="44" xfId="102" applyNumberFormat="1" applyFont="1" applyFill="1" applyBorder="1" applyAlignment="1">
      <alignment vertical="center"/>
    </xf>
    <xf numFmtId="0" fontId="12" fillId="8" borderId="26" xfId="102" applyFont="1" applyFill="1" applyBorder="1" applyAlignment="1">
      <alignment horizontal="center" vertical="center"/>
    </xf>
    <xf numFmtId="1" fontId="1" fillId="0" borderId="0" xfId="102" applyNumberFormat="1"/>
    <xf numFmtId="0" fontId="10" fillId="0" borderId="25" xfId="101" applyFont="1" applyBorder="1" applyAlignment="1">
      <alignment vertical="center"/>
    </xf>
    <xf numFmtId="3" fontId="13" fillId="0" borderId="26" xfId="102" applyNumberFormat="1" applyFont="1" applyBorder="1" applyAlignment="1">
      <alignment horizontal="center" vertical="center"/>
    </xf>
    <xf numFmtId="0" fontId="6" fillId="4" borderId="0" xfId="101" applyFont="1" applyFill="1" applyAlignment="1">
      <alignment vertical="center"/>
    </xf>
    <xf numFmtId="0" fontId="7" fillId="3" borderId="28" xfId="101" applyFont="1" applyFill="1" applyBorder="1" applyAlignment="1">
      <alignment vertical="center"/>
    </xf>
    <xf numFmtId="3" fontId="10" fillId="0" borderId="29" xfId="101" applyNumberFormat="1" applyFont="1" applyBorder="1" applyAlignment="1">
      <alignment horizontal="center" vertical="center"/>
    </xf>
    <xf numFmtId="3" fontId="10" fillId="0" borderId="30" xfId="101" applyNumberFormat="1" applyFont="1" applyBorder="1" applyAlignment="1">
      <alignment horizontal="center" vertical="center"/>
    </xf>
    <xf numFmtId="0" fontId="12" fillId="0" borderId="30" xfId="102" applyFont="1" applyBorder="1" applyAlignment="1">
      <alignment horizontal="center"/>
    </xf>
    <xf numFmtId="0" fontId="12" fillId="8" borderId="30" xfId="102" applyFont="1" applyFill="1" applyBorder="1" applyAlignment="1">
      <alignment horizontal="center" vertical="center"/>
    </xf>
    <xf numFmtId="0" fontId="10" fillId="4" borderId="0" xfId="101" applyFont="1" applyFill="1" applyAlignment="1">
      <alignment vertical="center"/>
    </xf>
    <xf numFmtId="0" fontId="6" fillId="9" borderId="0" xfId="101" applyFont="1" applyFill="1" applyAlignment="1">
      <alignment vertical="center"/>
    </xf>
    <xf numFmtId="0" fontId="1" fillId="3" borderId="0" xfId="102" applyFill="1"/>
    <xf numFmtId="0" fontId="7" fillId="4" borderId="0" xfId="101" applyFont="1" applyFill="1" applyAlignment="1">
      <alignment vertical="center" wrapText="1"/>
    </xf>
    <xf numFmtId="0" fontId="7" fillId="4" borderId="0" xfId="101" applyFont="1" applyFill="1" applyAlignment="1">
      <alignment vertical="center"/>
    </xf>
    <xf numFmtId="0" fontId="7" fillId="4" borderId="0" xfId="101" applyFont="1" applyFill="1" applyAlignment="1">
      <alignment horizontal="center" vertical="center"/>
    </xf>
    <xf numFmtId="0" fontId="7" fillId="0" borderId="0" xfId="101" applyFont="1" applyAlignment="1">
      <alignment vertical="center" wrapText="1"/>
    </xf>
    <xf numFmtId="0" fontId="7" fillId="0" borderId="3" xfId="101" applyFont="1" applyBorder="1" applyAlignment="1">
      <alignment horizontal="center" vertical="center"/>
    </xf>
    <xf numFmtId="166" fontId="20" fillId="4" borderId="3" xfId="101" applyNumberFormat="1" applyFont="1" applyFill="1" applyBorder="1" applyAlignment="1">
      <alignment horizontal="center" vertical="center"/>
    </xf>
    <xf numFmtId="166" fontId="20" fillId="0" borderId="3" xfId="101" applyNumberFormat="1" applyFont="1" applyBorder="1" applyAlignment="1">
      <alignment horizontal="center" vertical="center"/>
    </xf>
    <xf numFmtId="0" fontId="20" fillId="0" borderId="3" xfId="101" applyFont="1" applyBorder="1" applyAlignment="1">
      <alignment horizontal="center" vertical="center"/>
    </xf>
    <xf numFmtId="0" fontId="7" fillId="0" borderId="3" xfId="102" applyFont="1" applyBorder="1" applyAlignment="1">
      <alignment horizontal="center" vertical="center"/>
    </xf>
    <xf numFmtId="0" fontId="7" fillId="0" borderId="0" xfId="102" applyFont="1" applyAlignment="1">
      <alignment horizontal="center" vertical="center"/>
    </xf>
    <xf numFmtId="0" fontId="7" fillId="0" borderId="0" xfId="102" applyFont="1" applyAlignment="1">
      <alignment horizontal="left" vertical="center"/>
    </xf>
    <xf numFmtId="3" fontId="7" fillId="0" borderId="0" xfId="104" applyNumberFormat="1" applyFont="1" applyFill="1" applyBorder="1" applyAlignment="1" applyProtection="1">
      <alignment horizontal="center" vertical="center"/>
    </xf>
    <xf numFmtId="0" fontId="8" fillId="4" borderId="0" xfId="101" applyFont="1" applyFill="1" applyAlignment="1">
      <alignment horizontal="center" vertical="center"/>
    </xf>
    <xf numFmtId="0" fontId="8" fillId="4" borderId="0" xfId="101" applyFont="1" applyFill="1" applyAlignment="1">
      <alignment horizontal="center" vertical="center" wrapText="1"/>
    </xf>
    <xf numFmtId="0" fontId="6" fillId="0" borderId="0" xfId="101" applyFont="1" applyAlignment="1">
      <alignment horizontal="center" vertical="center"/>
    </xf>
    <xf numFmtId="0" fontId="6" fillId="0" borderId="0" xfId="102" applyFont="1" applyAlignment="1">
      <alignment vertical="center"/>
    </xf>
    <xf numFmtId="0" fontId="6" fillId="0" borderId="7" xfId="102" applyFont="1" applyBorder="1" applyAlignment="1">
      <alignment horizontal="center" vertical="center"/>
    </xf>
    <xf numFmtId="0" fontId="6" fillId="0" borderId="0" xfId="102" applyFont="1" applyAlignment="1">
      <alignment horizontal="center" vertical="center"/>
    </xf>
    <xf numFmtId="0" fontId="8" fillId="4" borderId="7" xfId="101" applyFont="1" applyFill="1" applyBorder="1" applyAlignment="1">
      <alignment horizontal="center" vertical="center" wrapText="1"/>
    </xf>
    <xf numFmtId="0" fontId="8" fillId="4" borderId="0" xfId="106" applyFont="1" applyFill="1" applyAlignment="1">
      <alignment horizontal="center" vertical="center"/>
    </xf>
    <xf numFmtId="0" fontId="6" fillId="0" borderId="7" xfId="101" applyFont="1" applyBorder="1" applyAlignment="1">
      <alignment horizontal="center" vertical="center"/>
    </xf>
    <xf numFmtId="0" fontId="10" fillId="0" borderId="0" xfId="102" applyFont="1" applyAlignment="1">
      <alignment horizontal="center" vertical="center"/>
    </xf>
    <xf numFmtId="0" fontId="5" fillId="0" borderId="0" xfId="107" applyFont="1" applyAlignment="1">
      <alignment horizontal="center" vertical="center"/>
    </xf>
    <xf numFmtId="0" fontId="10" fillId="0" borderId="0" xfId="102" applyFont="1" applyAlignment="1">
      <alignment vertical="center"/>
    </xf>
    <xf numFmtId="0" fontId="5" fillId="0" borderId="0" xfId="107" applyFont="1" applyAlignment="1">
      <alignment horizontal="left" vertical="center"/>
    </xf>
    <xf numFmtId="0" fontId="11" fillId="0" borderId="0" xfId="107" applyFont="1" applyAlignment="1">
      <alignment horizontal="left" vertical="center"/>
    </xf>
    <xf numFmtId="0" fontId="6" fillId="0" borderId="0" xfId="106" applyFont="1" applyAlignment="1">
      <alignment vertical="center"/>
    </xf>
    <xf numFmtId="3" fontId="9" fillId="2" borderId="16" xfId="102" applyNumberFormat="1" applyFont="1" applyFill="1" applyBorder="1" applyAlignment="1">
      <alignment horizontal="right" vertical="center"/>
    </xf>
    <xf numFmtId="3" fontId="9" fillId="2" borderId="20" xfId="102" applyNumberFormat="1" applyFont="1" applyFill="1" applyBorder="1" applyAlignment="1">
      <alignment vertical="center"/>
    </xf>
    <xf numFmtId="0" fontId="10" fillId="0" borderId="22" xfId="101" applyFont="1" applyBorder="1" applyAlignment="1">
      <alignment vertical="center"/>
    </xf>
    <xf numFmtId="3" fontId="13" fillId="0" borderId="23" xfId="102" applyNumberFormat="1" applyFont="1" applyBorder="1" applyAlignment="1">
      <alignment horizontal="center" vertical="center"/>
    </xf>
    <xf numFmtId="3" fontId="13" fillId="3" borderId="23" xfId="102" applyNumberFormat="1" applyFont="1" applyFill="1" applyBorder="1" applyAlignment="1">
      <alignment horizontal="center" vertical="center"/>
    </xf>
    <xf numFmtId="0" fontId="5" fillId="0" borderId="24" xfId="101" applyFont="1" applyBorder="1" applyAlignment="1">
      <alignment horizontal="center" vertical="center"/>
    </xf>
    <xf numFmtId="0" fontId="10" fillId="0" borderId="29" xfId="101" applyFont="1" applyBorder="1" applyAlignment="1">
      <alignment vertical="center"/>
    </xf>
    <xf numFmtId="15" fontId="13" fillId="0" borderId="30" xfId="102" applyNumberFormat="1" applyFont="1" applyBorder="1" applyAlignment="1">
      <alignment horizontal="center" vertical="center"/>
    </xf>
    <xf numFmtId="0" fontId="12" fillId="8" borderId="22" xfId="102" applyFont="1" applyFill="1" applyBorder="1" applyAlignment="1">
      <alignment horizontal="center"/>
    </xf>
    <xf numFmtId="0" fontId="12" fillId="0" borderId="27" xfId="102" applyFont="1" applyBorder="1" applyAlignment="1">
      <alignment horizontal="center"/>
    </xf>
    <xf numFmtId="3" fontId="10" fillId="0" borderId="48" xfId="101" applyNumberFormat="1" applyFont="1" applyBorder="1" applyAlignment="1">
      <alignment horizontal="center" vertical="center"/>
    </xf>
    <xf numFmtId="0" fontId="12" fillId="8" borderId="29" xfId="102" applyFont="1" applyFill="1" applyBorder="1" applyAlignment="1">
      <alignment horizontal="center" vertical="center"/>
    </xf>
    <xf numFmtId="3" fontId="12" fillId="0" borderId="30" xfId="102" applyNumberFormat="1" applyFont="1" applyBorder="1" applyAlignment="1">
      <alignment horizontal="center"/>
    </xf>
    <xf numFmtId="0" fontId="12" fillId="0" borderId="31" xfId="102" applyFont="1" applyBorder="1" applyAlignment="1">
      <alignment horizontal="center"/>
    </xf>
    <xf numFmtId="1" fontId="7" fillId="0" borderId="49" xfId="102" applyNumberFormat="1" applyFont="1" applyBorder="1" applyAlignment="1">
      <alignment horizontal="center" vertical="center"/>
    </xf>
    <xf numFmtId="0" fontId="21" fillId="4" borderId="0" xfId="101" applyFont="1" applyFill="1" applyAlignment="1">
      <alignment vertical="center" wrapText="1"/>
    </xf>
    <xf numFmtId="3" fontId="5" fillId="0" borderId="48" xfId="101" applyNumberFormat="1" applyFont="1" applyBorder="1" applyAlignment="1">
      <alignment horizontal="center" vertical="center"/>
    </xf>
    <xf numFmtId="3" fontId="5" fillId="0" borderId="49" xfId="101" applyNumberFormat="1" applyFont="1" applyBorder="1" applyAlignment="1">
      <alignment horizontal="center" vertical="center"/>
    </xf>
    <xf numFmtId="0" fontId="5" fillId="0" borderId="49" xfId="101" applyFont="1" applyBorder="1" applyAlignment="1">
      <alignment horizontal="center" vertical="center"/>
    </xf>
    <xf numFmtId="3" fontId="13" fillId="0" borderId="29" xfId="102" applyNumberFormat="1" applyFont="1" applyBorder="1" applyAlignment="1">
      <alignment horizontal="center" vertical="center"/>
    </xf>
    <xf numFmtId="0" fontId="10" fillId="0" borderId="31" xfId="101" applyFont="1" applyBorder="1" applyAlignment="1">
      <alignment horizontal="center" vertical="center"/>
    </xf>
    <xf numFmtId="0" fontId="1" fillId="0" borderId="0" xfId="108" applyAlignment="1">
      <alignment vertical="center"/>
    </xf>
    <xf numFmtId="0" fontId="17" fillId="0" borderId="2" xfId="108" applyFont="1" applyBorder="1" applyAlignment="1">
      <alignment horizontal="center" vertical="center"/>
    </xf>
    <xf numFmtId="0" fontId="5" fillId="0" borderId="10" xfId="45" applyFont="1" applyBorder="1" applyAlignment="1">
      <alignment horizontal="left" vertical="center"/>
    </xf>
    <xf numFmtId="0" fontId="1" fillId="0" borderId="0" xfId="109"/>
    <xf numFmtId="0" fontId="1" fillId="0" borderId="0" xfId="108" applyAlignment="1">
      <alignment horizontal="center" vertical="center"/>
    </xf>
    <xf numFmtId="0" fontId="17" fillId="0" borderId="0" xfId="108" applyFont="1" applyAlignment="1">
      <alignment horizontal="center" vertical="center"/>
    </xf>
    <xf numFmtId="0" fontId="5" fillId="0" borderId="12" xfId="45" applyFont="1" applyBorder="1" applyAlignment="1">
      <alignment horizontal="left" vertical="center" wrapText="1"/>
    </xf>
    <xf numFmtId="0" fontId="19" fillId="0" borderId="0" xfId="108" applyFont="1" applyAlignment="1">
      <alignment vertical="center"/>
    </xf>
    <xf numFmtId="0" fontId="17" fillId="0" borderId="7" xfId="108" applyFont="1" applyBorder="1" applyAlignment="1">
      <alignment horizontal="center" vertical="center"/>
    </xf>
    <xf numFmtId="0" fontId="5" fillId="0" borderId="14" xfId="45" applyFont="1" applyBorder="1" applyAlignment="1">
      <alignment horizontal="left" vertical="center" wrapText="1"/>
    </xf>
    <xf numFmtId="0" fontId="6" fillId="0" borderId="0" xfId="108" applyFont="1" applyAlignment="1">
      <alignment vertical="center"/>
    </xf>
    <xf numFmtId="0" fontId="20" fillId="0" borderId="0" xfId="108" applyFont="1" applyAlignment="1">
      <alignment vertical="center"/>
    </xf>
    <xf numFmtId="0" fontId="20" fillId="0" borderId="0" xfId="109" applyFont="1" applyAlignment="1">
      <alignment vertical="center"/>
    </xf>
    <xf numFmtId="0" fontId="7" fillId="0" borderId="0" xfId="108" applyFont="1" applyAlignment="1">
      <alignment vertical="center"/>
    </xf>
    <xf numFmtId="0" fontId="5" fillId="0" borderId="0" xfId="108" applyFont="1" applyAlignment="1">
      <alignment vertical="center"/>
    </xf>
    <xf numFmtId="0" fontId="8" fillId="0" borderId="0" xfId="108" applyFont="1" applyAlignment="1">
      <alignment vertical="center"/>
    </xf>
    <xf numFmtId="3" fontId="23" fillId="2" borderId="42" xfId="109" applyNumberFormat="1" applyFont="1" applyFill="1" applyBorder="1" applyAlignment="1">
      <alignment horizontal="center" vertical="center"/>
    </xf>
    <xf numFmtId="0" fontId="10" fillId="0" borderId="0" xfId="108" applyFont="1" applyAlignment="1">
      <alignment vertical="center"/>
    </xf>
    <xf numFmtId="0" fontId="11" fillId="0" borderId="0" xfId="108" applyFont="1" applyAlignment="1">
      <alignment vertical="center"/>
    </xf>
    <xf numFmtId="0" fontId="12" fillId="0" borderId="24" xfId="102" applyFont="1" applyBorder="1" applyAlignment="1">
      <alignment horizontal="center" vertical="center"/>
    </xf>
    <xf numFmtId="0" fontId="12" fillId="8" borderId="47" xfId="102" applyFont="1" applyFill="1" applyBorder="1" applyAlignment="1">
      <alignment horizontal="center" vertical="center"/>
    </xf>
    <xf numFmtId="0" fontId="12" fillId="8" borderId="1" xfId="102" applyFont="1" applyFill="1" applyBorder="1" applyAlignment="1">
      <alignment horizontal="center"/>
    </xf>
    <xf numFmtId="0" fontId="12" fillId="0" borderId="1" xfId="102" applyFont="1" applyBorder="1" applyAlignment="1">
      <alignment horizontal="center"/>
    </xf>
    <xf numFmtId="0" fontId="12" fillId="0" borderId="1" xfId="102" applyFont="1" applyBorder="1" applyAlignment="1">
      <alignment horizontal="center" vertical="center"/>
    </xf>
    <xf numFmtId="0" fontId="12" fillId="8" borderId="1" xfId="102" applyFont="1" applyFill="1" applyBorder="1" applyAlignment="1">
      <alignment horizontal="center" vertical="center"/>
    </xf>
    <xf numFmtId="3" fontId="13" fillId="0" borderId="1" xfId="102" applyNumberFormat="1" applyFont="1" applyBorder="1" applyAlignment="1">
      <alignment horizontal="center" vertical="center"/>
    </xf>
    <xf numFmtId="3" fontId="13" fillId="0" borderId="38" xfId="102" applyNumberFormat="1" applyFont="1" applyBorder="1" applyAlignment="1">
      <alignment horizontal="center" vertical="center"/>
    </xf>
    <xf numFmtId="0" fontId="24" fillId="0" borderId="25" xfId="108" applyFont="1" applyBorder="1" applyAlignment="1">
      <alignment vertical="center" wrapText="1"/>
    </xf>
    <xf numFmtId="3" fontId="16" fillId="3" borderId="22" xfId="109" applyNumberFormat="1" applyFont="1" applyFill="1" applyBorder="1" applyAlignment="1">
      <alignment horizontal="center" vertical="center"/>
    </xf>
    <xf numFmtId="3" fontId="16" fillId="3" borderId="23" xfId="109" applyNumberFormat="1" applyFont="1" applyFill="1" applyBorder="1" applyAlignment="1">
      <alignment horizontal="center" vertical="center"/>
    </xf>
    <xf numFmtId="3" fontId="13" fillId="3" borderId="24" xfId="109" applyNumberFormat="1" applyFont="1" applyFill="1" applyBorder="1" applyAlignment="1">
      <alignment horizontal="center" vertical="center"/>
    </xf>
    <xf numFmtId="0" fontId="10" fillId="0" borderId="56" xfId="108" applyFont="1" applyBorder="1" applyAlignment="1">
      <alignment horizontal="center" vertical="center"/>
    </xf>
    <xf numFmtId="0" fontId="10" fillId="0" borderId="24" xfId="108" applyFont="1" applyBorder="1" applyAlignment="1">
      <alignment horizontal="center" vertical="center"/>
    </xf>
    <xf numFmtId="3" fontId="16" fillId="3" borderId="26" xfId="109" applyNumberFormat="1" applyFont="1" applyFill="1" applyBorder="1" applyAlignment="1">
      <alignment horizontal="center" vertical="center"/>
    </xf>
    <xf numFmtId="3" fontId="16" fillId="3" borderId="3" xfId="109" applyNumberFormat="1" applyFont="1" applyFill="1" applyBorder="1" applyAlignment="1">
      <alignment horizontal="center" vertical="center"/>
    </xf>
    <xf numFmtId="3" fontId="13" fillId="3" borderId="27" xfId="109" applyNumberFormat="1" applyFont="1" applyFill="1" applyBorder="1" applyAlignment="1">
      <alignment horizontal="center" vertical="center"/>
    </xf>
    <xf numFmtId="0" fontId="10" fillId="0" borderId="5" xfId="108" applyFont="1" applyBorder="1" applyAlignment="1">
      <alignment horizontal="center" vertical="center"/>
    </xf>
    <xf numFmtId="0" fontId="10" fillId="0" borderId="27" xfId="108" applyFont="1" applyBorder="1" applyAlignment="1">
      <alignment horizontal="center" vertical="center"/>
    </xf>
    <xf numFmtId="0" fontId="24" fillId="0" borderId="28" xfId="108" applyFont="1" applyBorder="1" applyAlignment="1">
      <alignment vertical="center" wrapText="1"/>
    </xf>
    <xf numFmtId="3" fontId="16" fillId="3" borderId="29" xfId="109" applyNumberFormat="1" applyFont="1" applyFill="1" applyBorder="1" applyAlignment="1">
      <alignment horizontal="center" vertical="center"/>
    </xf>
    <xf numFmtId="3" fontId="16" fillId="3" borderId="30" xfId="109" applyNumberFormat="1" applyFont="1" applyFill="1" applyBorder="1" applyAlignment="1">
      <alignment horizontal="center" vertical="center"/>
    </xf>
    <xf numFmtId="3" fontId="13" fillId="3" borderId="31" xfId="109" applyNumberFormat="1" applyFont="1" applyFill="1" applyBorder="1" applyAlignment="1">
      <alignment horizontal="center" vertical="center"/>
    </xf>
    <xf numFmtId="0" fontId="10" fillId="0" borderId="57" xfId="108" applyFont="1" applyBorder="1" applyAlignment="1">
      <alignment horizontal="center" vertical="center"/>
    </xf>
    <xf numFmtId="0" fontId="10" fillId="0" borderId="31" xfId="108" applyFont="1" applyBorder="1" applyAlignment="1">
      <alignment horizontal="center" vertical="center"/>
    </xf>
    <xf numFmtId="0" fontId="10" fillId="3" borderId="0" xfId="108" applyFont="1" applyFill="1" applyAlignment="1">
      <alignment vertical="center"/>
    </xf>
    <xf numFmtId="3" fontId="9" fillId="2" borderId="42" xfId="109" applyNumberFormat="1" applyFont="1" applyFill="1" applyBorder="1" applyAlignment="1">
      <alignment horizontal="center" vertical="center"/>
    </xf>
    <xf numFmtId="3" fontId="9" fillId="2" borderId="50" xfId="109" applyNumberFormat="1" applyFont="1" applyFill="1" applyBorder="1" applyAlignment="1">
      <alignment vertical="center"/>
    </xf>
    <xf numFmtId="0" fontId="12" fillId="8" borderId="30" xfId="102" applyFont="1" applyFill="1" applyBorder="1" applyAlignment="1">
      <alignment horizontal="center"/>
    </xf>
    <xf numFmtId="0" fontId="12" fillId="0" borderId="30" xfId="102" applyFont="1" applyBorder="1" applyAlignment="1">
      <alignment horizontal="center" vertical="center"/>
    </xf>
    <xf numFmtId="3" fontId="13" fillId="0" borderId="31" xfId="102" applyNumberFormat="1" applyFont="1" applyBorder="1" applyAlignment="1">
      <alignment horizontal="center" vertical="center"/>
    </xf>
    <xf numFmtId="0" fontId="5" fillId="0" borderId="25" xfId="108" applyFont="1" applyBorder="1" applyAlignment="1">
      <alignment vertical="center" wrapText="1"/>
    </xf>
    <xf numFmtId="1" fontId="25" fillId="3" borderId="45" xfId="109" applyNumberFormat="1" applyFont="1" applyFill="1" applyBorder="1" applyAlignment="1">
      <alignment horizontal="center" vertical="center"/>
    </xf>
    <xf numFmtId="1" fontId="25" fillId="3" borderId="6" xfId="109" applyNumberFormat="1" applyFont="1" applyFill="1" applyBorder="1" applyAlignment="1">
      <alignment horizontal="center" vertical="center"/>
    </xf>
    <xf numFmtId="1" fontId="25" fillId="11" borderId="6" xfId="109" applyNumberFormat="1" applyFont="1" applyFill="1" applyBorder="1" applyAlignment="1">
      <alignment horizontal="center" vertical="center"/>
    </xf>
    <xf numFmtId="1" fontId="25" fillId="3" borderId="58" xfId="109" applyNumberFormat="1" applyFont="1" applyFill="1" applyBorder="1" applyAlignment="1">
      <alignment horizontal="center" vertical="center"/>
    </xf>
    <xf numFmtId="1" fontId="5" fillId="0" borderId="14" xfId="108" applyNumberFormat="1" applyFont="1" applyBorder="1" applyAlignment="1">
      <alignment horizontal="center" vertical="center"/>
    </xf>
    <xf numFmtId="1" fontId="20" fillId="0" borderId="58" xfId="109" applyNumberFormat="1" applyFont="1" applyBorder="1" applyAlignment="1">
      <alignment horizontal="center" vertical="center"/>
    </xf>
    <xf numFmtId="0" fontId="11" fillId="0" borderId="0" xfId="109" applyFont="1"/>
    <xf numFmtId="1" fontId="25" fillId="3" borderId="26" xfId="109" applyNumberFormat="1" applyFont="1" applyFill="1" applyBorder="1" applyAlignment="1">
      <alignment horizontal="center" vertical="center"/>
    </xf>
    <xf numFmtId="1" fontId="25" fillId="3" borderId="3" xfId="109" applyNumberFormat="1" applyFont="1" applyFill="1" applyBorder="1" applyAlignment="1">
      <alignment horizontal="center" vertical="center"/>
    </xf>
    <xf numFmtId="1" fontId="25" fillId="11" borderId="3" xfId="109" applyNumberFormat="1" applyFont="1" applyFill="1" applyBorder="1" applyAlignment="1">
      <alignment horizontal="center" vertical="center"/>
    </xf>
    <xf numFmtId="1" fontId="25" fillId="3" borderId="27" xfId="109" applyNumberFormat="1" applyFont="1" applyFill="1" applyBorder="1" applyAlignment="1">
      <alignment horizontal="center" vertical="center"/>
    </xf>
    <xf numFmtId="1" fontId="5" fillId="0" borderId="5" xfId="108" applyNumberFormat="1" applyFont="1" applyBorder="1" applyAlignment="1">
      <alignment horizontal="center" vertical="center"/>
    </xf>
    <xf numFmtId="1" fontId="20" fillId="0" borderId="27" xfId="109" applyNumberFormat="1" applyFont="1" applyBorder="1" applyAlignment="1">
      <alignment horizontal="center" vertical="center"/>
    </xf>
    <xf numFmtId="0" fontId="5" fillId="0" borderId="37" xfId="108" applyFont="1" applyBorder="1" applyAlignment="1">
      <alignment vertical="center" wrapText="1"/>
    </xf>
    <xf numFmtId="0" fontId="20" fillId="3" borderId="42" xfId="108" applyFont="1" applyFill="1" applyBorder="1" applyAlignment="1">
      <alignment vertical="center"/>
    </xf>
    <xf numFmtId="3" fontId="5" fillId="3" borderId="29" xfId="108" applyNumberFormat="1" applyFont="1" applyFill="1" applyBorder="1" applyAlignment="1">
      <alignment horizontal="center" vertical="center"/>
    </xf>
    <xf numFmtId="3" fontId="5" fillId="3" borderId="30" xfId="108" applyNumberFormat="1" applyFont="1" applyFill="1" applyBorder="1" applyAlignment="1">
      <alignment horizontal="center" vertical="center"/>
    </xf>
    <xf numFmtId="1" fontId="25" fillId="3" borderId="30" xfId="109" applyNumberFormat="1" applyFont="1" applyFill="1" applyBorder="1" applyAlignment="1">
      <alignment horizontal="center" vertical="center"/>
    </xf>
    <xf numFmtId="1" fontId="25" fillId="3" borderId="31" xfId="109" applyNumberFormat="1" applyFont="1" applyFill="1" applyBorder="1" applyAlignment="1">
      <alignment horizontal="center" vertical="center"/>
    </xf>
    <xf numFmtId="0" fontId="18" fillId="0" borderId="57" xfId="110" applyFont="1" applyBorder="1" applyAlignment="1">
      <alignment horizontal="center" vertical="center"/>
    </xf>
    <xf numFmtId="1" fontId="20" fillId="0" borderId="31" xfId="109" applyNumberFormat="1" applyFont="1" applyBorder="1" applyAlignment="1">
      <alignment horizontal="center" vertical="center"/>
    </xf>
    <xf numFmtId="0" fontId="6" fillId="4" borderId="0" xfId="108" applyFont="1" applyFill="1" applyAlignment="1">
      <alignment vertical="center"/>
    </xf>
    <xf numFmtId="0" fontId="10" fillId="4" borderId="0" xfId="108" applyFont="1" applyFill="1" applyAlignment="1">
      <alignment vertical="center"/>
    </xf>
    <xf numFmtId="0" fontId="21" fillId="4" borderId="0" xfId="108" applyFont="1" applyFill="1" applyAlignment="1">
      <alignment horizontal="left" vertical="center" wrapText="1"/>
    </xf>
    <xf numFmtId="0" fontId="7" fillId="4" borderId="0" xfId="108" applyFont="1" applyFill="1" applyAlignment="1">
      <alignment vertical="center"/>
    </xf>
    <xf numFmtId="0" fontId="7" fillId="4" borderId="0" xfId="108" applyFont="1" applyFill="1" applyAlignment="1">
      <alignment horizontal="center" vertical="center"/>
    </xf>
    <xf numFmtId="0" fontId="7" fillId="4" borderId="0" xfId="108" applyFont="1" applyFill="1" applyAlignment="1">
      <alignment vertical="center" wrapText="1"/>
    </xf>
    <xf numFmtId="0" fontId="26" fillId="4" borderId="0" xfId="108" applyFont="1" applyFill="1" applyAlignment="1">
      <alignment horizontal="center" vertical="center"/>
    </xf>
    <xf numFmtId="0" fontId="26" fillId="0" borderId="0" xfId="108" applyFont="1" applyAlignment="1">
      <alignment vertical="center" wrapText="1"/>
    </xf>
    <xf numFmtId="0" fontId="7" fillId="0" borderId="0" xfId="108" applyFont="1" applyAlignment="1">
      <alignment vertical="center" wrapText="1"/>
    </xf>
    <xf numFmtId="0" fontId="26" fillId="0" borderId="3" xfId="108" applyFont="1" applyBorder="1" applyAlignment="1">
      <alignment horizontal="center" vertical="center"/>
    </xf>
    <xf numFmtId="166" fontId="26" fillId="4" borderId="3" xfId="108" applyNumberFormat="1" applyFont="1" applyFill="1" applyBorder="1" applyAlignment="1">
      <alignment horizontal="center" vertical="center"/>
    </xf>
    <xf numFmtId="166" fontId="26" fillId="0" borderId="3" xfId="108" applyNumberFormat="1" applyFont="1" applyBorder="1" applyAlignment="1">
      <alignment horizontal="center" vertical="center"/>
    </xf>
    <xf numFmtId="0" fontId="8" fillId="4" borderId="0" xfId="108" applyFont="1" applyFill="1" applyAlignment="1">
      <alignment horizontal="center" vertical="center"/>
    </xf>
    <xf numFmtId="0" fontId="26" fillId="0" borderId="3" xfId="109" applyFont="1" applyBorder="1" applyAlignment="1">
      <alignment horizontal="center" vertical="center"/>
    </xf>
    <xf numFmtId="0" fontId="28" fillId="4" borderId="0" xfId="108" applyFont="1" applyFill="1" applyAlignment="1">
      <alignment horizontal="center" vertical="center"/>
    </xf>
    <xf numFmtId="0" fontId="20" fillId="0" borderId="0" xfId="109" applyFont="1" applyAlignment="1">
      <alignment horizontal="center" vertical="center"/>
    </xf>
    <xf numFmtId="0" fontId="20" fillId="0" borderId="0" xfId="109" applyFont="1" applyAlignment="1">
      <alignment horizontal="left" vertical="center"/>
    </xf>
    <xf numFmtId="168" fontId="20" fillId="0" borderId="0" xfId="111" applyNumberFormat="1" applyFont="1" applyFill="1" applyBorder="1" applyAlignment="1" applyProtection="1">
      <alignment horizontal="center" vertical="center"/>
    </xf>
    <xf numFmtId="166" fontId="7" fillId="4" borderId="0" xfId="108" applyNumberFormat="1" applyFont="1" applyFill="1" applyAlignment="1">
      <alignment horizontal="center" vertical="center"/>
    </xf>
    <xf numFmtId="166" fontId="7" fillId="0" borderId="0" xfId="108" applyNumberFormat="1" applyFont="1" applyAlignment="1">
      <alignment horizontal="center" vertical="center"/>
    </xf>
    <xf numFmtId="0" fontId="6" fillId="0" borderId="0" xfId="109" applyFont="1" applyAlignment="1">
      <alignment vertical="center"/>
    </xf>
    <xf numFmtId="0" fontId="7" fillId="0" borderId="0" xfId="109" applyFont="1" applyAlignment="1">
      <alignment horizontal="center" vertical="center"/>
    </xf>
    <xf numFmtId="0" fontId="7" fillId="0" borderId="0" xfId="109" applyFont="1" applyAlignment="1">
      <alignment horizontal="left" vertical="center"/>
    </xf>
    <xf numFmtId="3" fontId="7" fillId="0" borderId="0" xfId="111" applyNumberFormat="1" applyFont="1" applyFill="1" applyBorder="1" applyAlignment="1" applyProtection="1">
      <alignment horizontal="center" vertical="center"/>
    </xf>
    <xf numFmtId="0" fontId="14" fillId="0" borderId="0" xfId="109" applyFont="1" applyAlignment="1">
      <alignment vertical="center"/>
    </xf>
    <xf numFmtId="0" fontId="10" fillId="0" borderId="0" xfId="109" applyFont="1" applyAlignment="1">
      <alignment horizontal="center" vertical="center"/>
    </xf>
    <xf numFmtId="0" fontId="6" fillId="0" borderId="0" xfId="35" applyFont="1" applyAlignment="1">
      <alignment horizontal="center" vertical="center"/>
    </xf>
    <xf numFmtId="0" fontId="10" fillId="0" borderId="0" xfId="109" applyFont="1" applyAlignment="1">
      <alignment vertical="center"/>
    </xf>
    <xf numFmtId="0" fontId="8" fillId="4" borderId="0" xfId="108" applyFont="1" applyFill="1" applyAlignment="1">
      <alignment horizontal="center" vertical="center" wrapText="1"/>
    </xf>
    <xf numFmtId="0" fontId="6" fillId="0" borderId="7" xfId="109" applyFont="1" applyBorder="1" applyAlignment="1">
      <alignment horizontal="center" vertical="center"/>
    </xf>
    <xf numFmtId="0" fontId="6" fillId="0" borderId="0" xfId="109" applyFont="1" applyAlignment="1">
      <alignment horizontal="center" vertical="center"/>
    </xf>
    <xf numFmtId="0" fontId="8" fillId="4" borderId="7" xfId="108" applyFont="1" applyFill="1" applyBorder="1" applyAlignment="1">
      <alignment horizontal="center" vertical="center" wrapText="1"/>
    </xf>
    <xf numFmtId="0" fontId="8" fillId="4" borderId="0" xfId="112" applyFont="1" applyFill="1" applyAlignment="1">
      <alignment horizontal="center" vertical="center"/>
    </xf>
    <xf numFmtId="0" fontId="6" fillId="0" borderId="59" xfId="113" applyFont="1" applyBorder="1" applyAlignment="1">
      <alignment vertical="center"/>
    </xf>
    <xf numFmtId="0" fontId="5" fillId="0" borderId="0" xfId="113" applyFont="1" applyAlignment="1">
      <alignment horizontal="center" vertical="center"/>
    </xf>
    <xf numFmtId="0" fontId="5" fillId="0" borderId="0" xfId="113" applyFont="1" applyAlignment="1">
      <alignment horizontal="left" vertical="center"/>
    </xf>
    <xf numFmtId="0" fontId="14" fillId="0" borderId="18" xfId="109" applyFont="1" applyBorder="1" applyAlignment="1">
      <alignment horizontal="center" vertical="center"/>
    </xf>
    <xf numFmtId="0" fontId="11" fillId="0" borderId="0" xfId="113" applyFont="1" applyAlignment="1">
      <alignment horizontal="center" vertical="center"/>
    </xf>
    <xf numFmtId="0" fontId="11" fillId="0" borderId="0" xfId="109" applyFont="1" applyAlignment="1">
      <alignment vertical="center"/>
    </xf>
    <xf numFmtId="0" fontId="6" fillId="0" borderId="0" xfId="112" applyFont="1" applyAlignment="1">
      <alignment vertical="center"/>
    </xf>
    <xf numFmtId="0" fontId="10" fillId="12" borderId="3" xfId="83" applyFont="1" applyFill="1" applyBorder="1" applyAlignment="1">
      <alignment horizontal="center" vertical="center"/>
    </xf>
    <xf numFmtId="0" fontId="26" fillId="0" borderId="4" xfId="108" applyFont="1" applyBorder="1" applyAlignment="1">
      <alignment horizontal="left" vertical="center"/>
    </xf>
    <xf numFmtId="0" fontId="26" fillId="0" borderId="8" xfId="108" applyFont="1" applyBorder="1" applyAlignment="1">
      <alignment horizontal="left" vertical="center"/>
    </xf>
    <xf numFmtId="0" fontId="26" fillId="0" borderId="5" xfId="108" applyFont="1" applyBorder="1" applyAlignment="1">
      <alignment horizontal="left" vertical="center"/>
    </xf>
    <xf numFmtId="0" fontId="26" fillId="0" borderId="3" xfId="108" applyFont="1" applyBorder="1" applyAlignment="1">
      <alignment horizontal="left" vertical="center"/>
    </xf>
    <xf numFmtId="3" fontId="16" fillId="0" borderId="3" xfId="108" applyNumberFormat="1" applyFont="1" applyBorder="1" applyAlignment="1">
      <alignment horizontal="center" vertical="center"/>
    </xf>
    <xf numFmtId="0" fontId="26" fillId="0" borderId="4" xfId="109" applyFont="1" applyBorder="1" applyAlignment="1">
      <alignment horizontal="left" vertical="center"/>
    </xf>
    <xf numFmtId="0" fontId="26" fillId="0" borderId="8" xfId="109" applyFont="1" applyBorder="1" applyAlignment="1">
      <alignment horizontal="left" vertical="center"/>
    </xf>
    <xf numFmtId="0" fontId="26" fillId="0" borderId="5" xfId="109" applyFont="1" applyBorder="1" applyAlignment="1">
      <alignment horizontal="left" vertical="center"/>
    </xf>
    <xf numFmtId="3" fontId="26" fillId="0" borderId="3" xfId="111" applyNumberFormat="1" applyFont="1" applyFill="1" applyBorder="1" applyAlignment="1" applyProtection="1">
      <alignment horizontal="center" vertical="center"/>
    </xf>
    <xf numFmtId="3" fontId="16" fillId="0" borderId="4" xfId="108" applyNumberFormat="1" applyFont="1" applyBorder="1" applyAlignment="1">
      <alignment horizontal="center" vertical="center"/>
    </xf>
    <xf numFmtId="3" fontId="16" fillId="0" borderId="5" xfId="108" applyNumberFormat="1" applyFont="1" applyBorder="1" applyAlignment="1">
      <alignment horizontal="center" vertical="center"/>
    </xf>
    <xf numFmtId="166" fontId="16" fillId="5" borderId="3" xfId="108" applyNumberFormat="1" applyFont="1" applyFill="1" applyBorder="1" applyAlignment="1">
      <alignment horizontal="center" vertical="center"/>
    </xf>
    <xf numFmtId="166" fontId="16" fillId="0" borderId="3" xfId="108" applyNumberFormat="1" applyFont="1" applyBorder="1" applyAlignment="1">
      <alignment horizontal="center" vertical="center"/>
    </xf>
    <xf numFmtId="168" fontId="16" fillId="0" borderId="4" xfId="108" applyNumberFormat="1" applyFont="1" applyBorder="1" applyAlignment="1">
      <alignment horizontal="center" vertical="center"/>
    </xf>
    <xf numFmtId="168" fontId="16" fillId="0" borderId="5" xfId="108" applyNumberFormat="1" applyFont="1" applyBorder="1" applyAlignment="1">
      <alignment horizontal="center" vertical="center"/>
    </xf>
    <xf numFmtId="168" fontId="16" fillId="0" borderId="3" xfId="108" applyNumberFormat="1" applyFont="1" applyBorder="1" applyAlignment="1">
      <alignment horizontal="center" vertical="center"/>
    </xf>
    <xf numFmtId="166" fontId="16" fillId="5" borderId="4" xfId="108" applyNumberFormat="1" applyFont="1" applyFill="1" applyBorder="1" applyAlignment="1">
      <alignment horizontal="center" vertical="center"/>
    </xf>
    <xf numFmtId="166" fontId="16" fillId="5" borderId="5" xfId="108" applyNumberFormat="1" applyFont="1" applyFill="1" applyBorder="1" applyAlignment="1">
      <alignment horizontal="center" vertical="center"/>
    </xf>
    <xf numFmtId="166" fontId="16" fillId="0" borderId="4" xfId="108" applyNumberFormat="1" applyFont="1" applyBorder="1" applyAlignment="1">
      <alignment horizontal="center" vertical="center"/>
    </xf>
    <xf numFmtId="166" fontId="16" fillId="0" borderId="5" xfId="108" applyNumberFormat="1" applyFont="1" applyBorder="1" applyAlignment="1">
      <alignment horizontal="center" vertical="center"/>
    </xf>
    <xf numFmtId="0" fontId="27" fillId="4" borderId="3" xfId="108" applyFont="1" applyFill="1" applyBorder="1" applyAlignment="1">
      <alignment horizontal="center" vertical="center"/>
    </xf>
    <xf numFmtId="0" fontId="26" fillId="0" borderId="3" xfId="108" applyFont="1" applyBorder="1" applyAlignment="1">
      <alignment horizontal="center" vertical="center" wrapText="1"/>
    </xf>
    <xf numFmtId="165" fontId="26" fillId="0" borderId="3" xfId="108" applyNumberFormat="1" applyFont="1" applyBorder="1" applyAlignment="1">
      <alignment horizontal="center" vertical="center" wrapText="1"/>
    </xf>
    <xf numFmtId="0" fontId="9" fillId="0" borderId="50" xfId="0" applyFont="1" applyBorder="1" applyAlignment="1">
      <alignment horizontal="center" vertical="center"/>
    </xf>
    <xf numFmtId="0" fontId="9" fillId="0" borderId="53" xfId="0" applyFont="1" applyBorder="1" applyAlignment="1">
      <alignment horizontal="center" vertical="center"/>
    </xf>
    <xf numFmtId="0" fontId="9" fillId="0" borderId="55" xfId="0" applyFont="1" applyBorder="1" applyAlignment="1">
      <alignment horizontal="center" vertical="center"/>
    </xf>
    <xf numFmtId="3" fontId="24" fillId="3" borderId="51" xfId="108" applyNumberFormat="1" applyFont="1" applyFill="1" applyBorder="1" applyAlignment="1">
      <alignment horizontal="center" vertical="center"/>
    </xf>
    <xf numFmtId="3" fontId="24" fillId="3" borderId="37" xfId="108" applyNumberFormat="1" applyFont="1" applyFill="1" applyBorder="1" applyAlignment="1">
      <alignment horizontal="center" vertical="center"/>
    </xf>
    <xf numFmtId="0" fontId="26" fillId="0" borderId="4" xfId="108" applyFont="1" applyBorder="1" applyAlignment="1">
      <alignment horizontal="center" vertical="center" wrapText="1"/>
    </xf>
    <xf numFmtId="0" fontId="26" fillId="0" borderId="8" xfId="108" applyFont="1" applyBorder="1" applyAlignment="1">
      <alignment horizontal="center" vertical="center" wrapText="1"/>
    </xf>
    <xf numFmtId="0" fontId="26" fillId="0" borderId="5" xfId="108" applyFont="1" applyBorder="1" applyAlignment="1">
      <alignment horizontal="center" vertical="center" wrapText="1"/>
    </xf>
    <xf numFmtId="0" fontId="1" fillId="0" borderId="9" xfId="108" applyBorder="1" applyAlignment="1">
      <alignment horizontal="center" vertical="center"/>
    </xf>
    <xf numFmtId="0" fontId="1" fillId="0" borderId="2" xfId="108" applyBorder="1" applyAlignment="1">
      <alignment horizontal="center" vertical="center"/>
    </xf>
    <xf numFmtId="0" fontId="1" fillId="0" borderId="10" xfId="108" applyBorder="1" applyAlignment="1">
      <alignment horizontal="center" vertical="center"/>
    </xf>
    <xf numFmtId="0" fontId="1" fillId="0" borderId="11" xfId="108" applyBorder="1" applyAlignment="1">
      <alignment horizontal="center" vertical="center"/>
    </xf>
    <xf numFmtId="0" fontId="1" fillId="0" borderId="0" xfId="108" applyAlignment="1">
      <alignment horizontal="center" vertical="center"/>
    </xf>
    <xf numFmtId="0" fontId="1" fillId="0" borderId="12" xfId="108" applyBorder="1" applyAlignment="1">
      <alignment horizontal="center" vertical="center"/>
    </xf>
    <xf numFmtId="0" fontId="1" fillId="0" borderId="13" xfId="108" applyBorder="1" applyAlignment="1">
      <alignment horizontal="center" vertical="center"/>
    </xf>
    <xf numFmtId="0" fontId="1" fillId="0" borderId="7" xfId="108" applyBorder="1" applyAlignment="1">
      <alignment horizontal="center" vertical="center"/>
    </xf>
    <xf numFmtId="0" fontId="1" fillId="0" borderId="14" xfId="108" applyBorder="1" applyAlignment="1">
      <alignment horizontal="center" vertical="center"/>
    </xf>
    <xf numFmtId="0" fontId="17" fillId="0" borderId="9" xfId="108" applyFont="1" applyBorder="1" applyAlignment="1">
      <alignment horizontal="center" vertical="center"/>
    </xf>
    <xf numFmtId="0" fontId="17" fillId="0" borderId="2" xfId="108" applyFont="1" applyBorder="1" applyAlignment="1">
      <alignment horizontal="center" vertical="center"/>
    </xf>
    <xf numFmtId="0" fontId="17" fillId="0" borderId="11" xfId="108" applyFont="1" applyBorder="1" applyAlignment="1">
      <alignment horizontal="center" vertical="center"/>
    </xf>
    <xf numFmtId="0" fontId="17" fillId="0" borderId="0" xfId="108" applyFont="1" applyAlignment="1">
      <alignment horizontal="center" vertical="center"/>
    </xf>
    <xf numFmtId="0" fontId="17" fillId="0" borderId="13" xfId="108" applyFont="1" applyBorder="1" applyAlignment="1">
      <alignment horizontal="center" vertical="center"/>
    </xf>
    <xf numFmtId="0" fontId="17" fillId="0" borderId="7" xfId="108" applyFont="1" applyBorder="1" applyAlignment="1">
      <alignment horizontal="center" vertical="center"/>
    </xf>
    <xf numFmtId="3" fontId="23" fillId="2" borderId="42" xfId="109" applyNumberFormat="1" applyFont="1" applyFill="1" applyBorder="1" applyAlignment="1">
      <alignment horizontal="center" vertical="center"/>
    </xf>
    <xf numFmtId="3" fontId="23" fillId="2" borderId="34" xfId="109" applyNumberFormat="1" applyFont="1" applyFill="1" applyBorder="1" applyAlignment="1">
      <alignment horizontal="center" vertical="center"/>
    </xf>
    <xf numFmtId="3" fontId="23" fillId="2" borderId="43" xfId="109" applyNumberFormat="1" applyFont="1" applyFill="1" applyBorder="1" applyAlignment="1">
      <alignment horizontal="center" vertical="center"/>
    </xf>
    <xf numFmtId="0" fontId="12" fillId="0" borderId="44" xfId="110" applyFont="1" applyBorder="1" applyAlignment="1">
      <alignment horizontal="center" vertical="center"/>
    </xf>
    <xf numFmtId="0" fontId="12" fillId="0" borderId="52" xfId="110" applyFont="1" applyBorder="1" applyAlignment="1">
      <alignment horizontal="center" vertical="center"/>
    </xf>
    <xf numFmtId="0" fontId="12" fillId="0" borderId="54" xfId="110" applyFont="1" applyBorder="1" applyAlignment="1">
      <alignment horizontal="center" vertical="center"/>
    </xf>
    <xf numFmtId="3" fontId="9" fillId="2" borderId="42" xfId="109" applyNumberFormat="1" applyFont="1" applyFill="1" applyBorder="1" applyAlignment="1">
      <alignment horizontal="center" vertical="center"/>
    </xf>
    <xf numFmtId="3" fontId="9" fillId="2" borderId="34" xfId="109" applyNumberFormat="1" applyFont="1" applyFill="1" applyBorder="1" applyAlignment="1">
      <alignment horizontal="center" vertical="center"/>
    </xf>
    <xf numFmtId="3" fontId="9" fillId="2" borderId="43" xfId="109" applyNumberFormat="1" applyFont="1" applyFill="1" applyBorder="1" applyAlignment="1">
      <alignment horizontal="center" vertical="center"/>
    </xf>
    <xf numFmtId="3" fontId="10" fillId="3" borderId="51" xfId="108" applyNumberFormat="1" applyFont="1" applyFill="1" applyBorder="1" applyAlignment="1">
      <alignment horizontal="center" vertical="center"/>
    </xf>
    <xf numFmtId="3" fontId="10" fillId="3" borderId="25" xfId="108" applyNumberFormat="1" applyFont="1" applyFill="1" applyBorder="1" applyAlignment="1">
      <alignment horizontal="center" vertical="center"/>
    </xf>
    <xf numFmtId="0" fontId="12" fillId="0" borderId="5" xfId="103" applyFont="1" applyBorder="1" applyAlignment="1">
      <alignment horizontal="center" vertical="center"/>
    </xf>
    <xf numFmtId="0" fontId="9" fillId="0" borderId="3" xfId="0" applyFont="1" applyBorder="1" applyAlignment="1">
      <alignment horizontal="center" vertical="center"/>
    </xf>
    <xf numFmtId="0" fontId="21" fillId="4" borderId="0" xfId="108" applyFont="1" applyFill="1" applyAlignment="1">
      <alignment horizontal="left" vertical="center" wrapText="1"/>
    </xf>
    <xf numFmtId="0" fontId="6" fillId="0" borderId="9" xfId="80" applyFont="1" applyBorder="1" applyAlignment="1">
      <alignment horizontal="center" vertical="center"/>
    </xf>
    <xf numFmtId="0" fontId="6" fillId="0" borderId="10" xfId="80" applyFont="1" applyBorder="1" applyAlignment="1">
      <alignment horizontal="center" vertical="center"/>
    </xf>
    <xf numFmtId="0" fontId="6" fillId="0" borderId="11" xfId="80" applyFont="1" applyBorder="1" applyAlignment="1">
      <alignment horizontal="center" vertical="center"/>
    </xf>
    <xf numFmtId="0" fontId="6" fillId="0" borderId="12" xfId="80" applyFont="1" applyBorder="1" applyAlignment="1">
      <alignment horizontal="center" vertical="center"/>
    </xf>
    <xf numFmtId="0" fontId="6" fillId="0" borderId="13" xfId="80" applyFont="1" applyBorder="1" applyAlignment="1">
      <alignment horizontal="center" vertical="center"/>
    </xf>
    <xf numFmtId="0" fontId="6" fillId="0" borderId="14" xfId="80" applyFont="1" applyBorder="1" applyAlignment="1">
      <alignment horizontal="center" vertical="center"/>
    </xf>
    <xf numFmtId="0" fontId="10" fillId="0" borderId="9" xfId="80" applyFont="1" applyBorder="1" applyAlignment="1">
      <alignment horizontal="center" vertical="center"/>
    </xf>
    <xf numFmtId="0" fontId="10" fillId="0" borderId="2" xfId="80" applyFont="1" applyBorder="1" applyAlignment="1">
      <alignment horizontal="center" vertical="center"/>
    </xf>
    <xf numFmtId="0" fontId="10" fillId="0" borderId="10" xfId="80" applyFont="1" applyBorder="1" applyAlignment="1">
      <alignment horizontal="center" vertical="center"/>
    </xf>
    <xf numFmtId="0" fontId="10" fillId="0" borderId="11" xfId="80" applyFont="1" applyBorder="1" applyAlignment="1">
      <alignment horizontal="center" vertical="center"/>
    </xf>
    <xf numFmtId="0" fontId="10" fillId="0" borderId="0" xfId="80" applyFont="1" applyAlignment="1">
      <alignment horizontal="center" vertical="center"/>
    </xf>
    <xf numFmtId="0" fontId="10" fillId="0" borderId="12" xfId="80" applyFont="1" applyBorder="1" applyAlignment="1">
      <alignment horizontal="center" vertical="center"/>
    </xf>
    <xf numFmtId="0" fontId="10" fillId="0" borderId="13" xfId="80" applyFont="1" applyBorder="1" applyAlignment="1">
      <alignment horizontal="center" vertical="center"/>
    </xf>
    <xf numFmtId="0" fontId="10" fillId="0" borderId="7" xfId="80" applyFont="1" applyBorder="1" applyAlignment="1">
      <alignment horizontal="center" vertical="center"/>
    </xf>
    <xf numFmtId="0" fontId="10" fillId="0" borderId="14" xfId="80" applyFont="1" applyBorder="1" applyAlignment="1">
      <alignment horizontal="center" vertical="center"/>
    </xf>
    <xf numFmtId="3" fontId="9" fillId="2" borderId="3" xfId="81" applyNumberFormat="1" applyFont="1" applyFill="1" applyBorder="1" applyAlignment="1">
      <alignment horizontal="center" vertical="center"/>
    </xf>
    <xf numFmtId="3" fontId="9" fillId="3" borderId="3" xfId="81" applyNumberFormat="1" applyFont="1" applyFill="1" applyBorder="1" applyAlignment="1">
      <alignment horizontal="center" vertical="center"/>
    </xf>
    <xf numFmtId="0" fontId="12" fillId="0" borderId="1" xfId="81" applyFont="1" applyBorder="1" applyAlignment="1">
      <alignment horizontal="center" vertical="center"/>
    </xf>
    <xf numFmtId="0" fontId="12" fillId="0" borderId="6" xfId="81" applyFont="1" applyBorder="1" applyAlignment="1">
      <alignment horizontal="center" vertical="center"/>
    </xf>
    <xf numFmtId="0" fontId="12" fillId="0" borderId="1" xfId="82" applyFont="1" applyBorder="1" applyAlignment="1">
      <alignment horizontal="center" vertical="center"/>
    </xf>
    <xf numFmtId="0" fontId="12" fillId="0" borderId="6" xfId="82" applyFont="1" applyBorder="1" applyAlignment="1">
      <alignment horizontal="center" vertical="center"/>
    </xf>
    <xf numFmtId="0" fontId="9" fillId="0" borderId="1" xfId="81" applyFont="1" applyBorder="1" applyAlignment="1">
      <alignment horizontal="center" vertical="center"/>
    </xf>
    <xf numFmtId="0" fontId="9" fillId="0" borderId="6" xfId="81" applyFont="1" applyBorder="1" applyAlignment="1">
      <alignment horizontal="center" vertical="center"/>
    </xf>
    <xf numFmtId="165" fontId="7" fillId="0" borderId="3" xfId="80" applyNumberFormat="1" applyFont="1" applyBorder="1" applyAlignment="1">
      <alignment horizontal="center" vertical="center" wrapText="1"/>
    </xf>
    <xf numFmtId="0" fontId="7" fillId="0" borderId="3" xfId="80" applyFont="1" applyBorder="1" applyAlignment="1">
      <alignment horizontal="center" vertical="center" wrapText="1"/>
    </xf>
    <xf numFmtId="0" fontId="7" fillId="0" borderId="0" xfId="80" applyFont="1" applyAlignment="1">
      <alignment horizontal="center" vertical="center" wrapText="1"/>
    </xf>
    <xf numFmtId="0" fontId="7" fillId="4" borderId="0" xfId="80" applyFont="1" applyFill="1" applyAlignment="1">
      <alignment horizontal="left" vertical="center" wrapText="1"/>
    </xf>
    <xf numFmtId="3" fontId="13" fillId="0" borderId="3" xfId="84" applyNumberFormat="1" applyFont="1" applyFill="1" applyBorder="1" applyAlignment="1" applyProtection="1">
      <alignment horizontal="center" vertical="center"/>
    </xf>
    <xf numFmtId="0" fontId="13" fillId="0" borderId="3" xfId="81" applyFont="1" applyBorder="1" applyAlignment="1">
      <alignment horizontal="left" vertical="center"/>
    </xf>
    <xf numFmtId="166" fontId="13" fillId="4" borderId="3" xfId="81" applyNumberFormat="1" applyFont="1" applyFill="1" applyBorder="1" applyAlignment="1">
      <alignment horizontal="center" vertical="center"/>
    </xf>
    <xf numFmtId="166" fontId="13" fillId="0" borderId="3" xfId="81" applyNumberFormat="1" applyFont="1" applyBorder="1" applyAlignment="1">
      <alignment horizontal="center" vertical="center"/>
    </xf>
    <xf numFmtId="0" fontId="7" fillId="0" borderId="4" xfId="80" applyFont="1" applyBorder="1" applyAlignment="1">
      <alignment horizontal="center" vertical="center" wrapText="1"/>
    </xf>
    <xf numFmtId="0" fontId="7" fillId="0" borderId="8" xfId="80" applyFont="1" applyBorder="1" applyAlignment="1">
      <alignment horizontal="center" vertical="center" wrapText="1"/>
    </xf>
    <xf numFmtId="0" fontId="7" fillId="0" borderId="5" xfId="80" applyFont="1" applyBorder="1" applyAlignment="1">
      <alignment horizontal="center" vertical="center" wrapText="1"/>
    </xf>
    <xf numFmtId="3" fontId="13" fillId="0" borderId="3" xfId="80" applyNumberFormat="1" applyFont="1" applyBorder="1" applyAlignment="1">
      <alignment horizontal="center" vertical="center"/>
    </xf>
    <xf numFmtId="0" fontId="7" fillId="0" borderId="3" xfId="80" applyFont="1" applyBorder="1" applyAlignment="1">
      <alignment horizontal="left" vertical="center"/>
    </xf>
    <xf numFmtId="166" fontId="13" fillId="5" borderId="4" xfId="85" applyNumberFormat="1" applyFont="1" applyFill="1" applyBorder="1" applyAlignment="1">
      <alignment horizontal="center" vertical="center"/>
    </xf>
    <xf numFmtId="166" fontId="13" fillId="5" borderId="5" xfId="85" applyNumberFormat="1" applyFont="1" applyFill="1" applyBorder="1" applyAlignment="1">
      <alignment horizontal="center" vertical="center"/>
    </xf>
    <xf numFmtId="166" fontId="13" fillId="0" borderId="4" xfId="85" applyNumberFormat="1" applyFont="1" applyBorder="1" applyAlignment="1">
      <alignment horizontal="center" vertical="center"/>
    </xf>
    <xf numFmtId="166" fontId="13" fillId="0" borderId="5" xfId="85" applyNumberFormat="1" applyFont="1" applyBorder="1" applyAlignment="1">
      <alignment horizontal="center" vertical="center"/>
    </xf>
    <xf numFmtId="0" fontId="5" fillId="0" borderId="2" xfId="87" applyFont="1" applyBorder="1" applyAlignment="1">
      <alignment horizontal="center" vertical="center"/>
    </xf>
    <xf numFmtId="0" fontId="7" fillId="0" borderId="3" xfId="86" applyFont="1" applyBorder="1" applyAlignment="1">
      <alignment horizontal="left" vertical="center"/>
    </xf>
    <xf numFmtId="166" fontId="13" fillId="5" borderId="4" xfId="86" applyNumberFormat="1" applyFont="1" applyFill="1" applyBorder="1" applyAlignment="1">
      <alignment horizontal="center" vertical="center"/>
    </xf>
    <xf numFmtId="166" fontId="13" fillId="5" borderId="5" xfId="86" applyNumberFormat="1" applyFont="1" applyFill="1" applyBorder="1" applyAlignment="1">
      <alignment horizontal="center" vertical="center"/>
    </xf>
    <xf numFmtId="166" fontId="13" fillId="0" borderId="4" xfId="86" applyNumberFormat="1" applyFont="1" applyBorder="1" applyAlignment="1">
      <alignment horizontal="center" vertical="center"/>
    </xf>
    <xf numFmtId="166" fontId="13" fillId="0" borderId="5" xfId="86" applyNumberFormat="1" applyFont="1" applyBorder="1" applyAlignment="1">
      <alignment horizontal="center" vertical="center"/>
    </xf>
    <xf numFmtId="166" fontId="13" fillId="0" borderId="3" xfId="86" applyNumberFormat="1" applyFont="1" applyBorder="1" applyAlignment="1">
      <alignment horizontal="center" vertical="center"/>
    </xf>
    <xf numFmtId="3" fontId="13" fillId="0" borderId="4" xfId="80" applyNumberFormat="1" applyFont="1" applyBorder="1" applyAlignment="1">
      <alignment horizontal="center" vertical="center"/>
    </xf>
    <xf numFmtId="3" fontId="13" fillId="0" borderId="5" xfId="80" applyNumberFormat="1" applyFont="1" applyBorder="1" applyAlignment="1">
      <alignment horizontal="center" vertical="center"/>
    </xf>
    <xf numFmtId="0" fontId="7" fillId="0" borderId="4" xfId="81" applyFont="1" applyBorder="1" applyAlignment="1">
      <alignment horizontal="left" vertical="center"/>
    </xf>
    <xf numFmtId="0" fontId="7" fillId="0" borderId="8" xfId="81" applyFont="1" applyBorder="1" applyAlignment="1">
      <alignment horizontal="left" vertical="center"/>
    </xf>
    <xf numFmtId="0" fontId="7" fillId="0" borderId="5" xfId="81" applyFont="1" applyBorder="1" applyAlignment="1">
      <alignment horizontal="left" vertical="center"/>
    </xf>
    <xf numFmtId="3" fontId="7" fillId="0" borderId="3" xfId="84" applyNumberFormat="1" applyFont="1" applyFill="1" applyBorder="1" applyAlignment="1" applyProtection="1">
      <alignment horizontal="center" vertical="center"/>
    </xf>
    <xf numFmtId="0" fontId="7" fillId="0" borderId="4" xfId="86" applyFont="1" applyBorder="1" applyAlignment="1">
      <alignment horizontal="left" vertical="center"/>
    </xf>
    <xf numFmtId="0" fontId="7" fillId="0" borderId="8" xfId="86" applyFont="1" applyBorder="1" applyAlignment="1">
      <alignment horizontal="left" vertical="center"/>
    </xf>
    <xf numFmtId="0" fontId="7" fillId="0" borderId="5" xfId="86" applyFont="1" applyBorder="1" applyAlignment="1">
      <alignment horizontal="left" vertical="center"/>
    </xf>
    <xf numFmtId="3" fontId="13" fillId="0" borderId="3" xfId="78" applyNumberFormat="1" applyFont="1" applyBorder="1" applyAlignment="1">
      <alignment horizontal="center" vertical="center"/>
    </xf>
    <xf numFmtId="0" fontId="7" fillId="0" borderId="4" xfId="77" applyFont="1" applyBorder="1" applyAlignment="1">
      <alignment horizontal="left" vertical="center"/>
    </xf>
    <xf numFmtId="0" fontId="7" fillId="0" borderId="8" xfId="77" applyFont="1" applyBorder="1" applyAlignment="1">
      <alignment horizontal="left" vertical="center"/>
    </xf>
    <xf numFmtId="0" fontId="7" fillId="0" borderId="5" xfId="77" applyFont="1" applyBorder="1" applyAlignment="1">
      <alignment horizontal="left" vertical="center"/>
    </xf>
    <xf numFmtId="3" fontId="7" fillId="0" borderId="3" xfId="75" applyNumberFormat="1" applyFont="1" applyFill="1" applyBorder="1" applyAlignment="1" applyProtection="1">
      <alignment horizontal="center" vertical="center"/>
    </xf>
    <xf numFmtId="166" fontId="13" fillId="5" borderId="4" xfId="76" applyNumberFormat="1" applyFont="1" applyFill="1" applyBorder="1" applyAlignment="1">
      <alignment horizontal="center" vertical="center"/>
    </xf>
    <xf numFmtId="166" fontId="13" fillId="5" borderId="5" xfId="76" applyNumberFormat="1" applyFont="1" applyFill="1" applyBorder="1" applyAlignment="1">
      <alignment horizontal="center" vertical="center"/>
    </xf>
    <xf numFmtId="166" fontId="13" fillId="0" borderId="4" xfId="76" applyNumberFormat="1" applyFont="1" applyBorder="1" applyAlignment="1">
      <alignment horizontal="center" vertical="center"/>
    </xf>
    <xf numFmtId="166" fontId="13" fillId="0" borderId="5" xfId="76" applyNumberFormat="1" applyFont="1" applyBorder="1" applyAlignment="1">
      <alignment horizontal="center" vertical="center"/>
    </xf>
    <xf numFmtId="3" fontId="13" fillId="0" borderId="4" xfId="75" applyNumberFormat="1" applyFont="1" applyFill="1" applyBorder="1" applyAlignment="1" applyProtection="1">
      <alignment horizontal="center" vertical="center"/>
    </xf>
    <xf numFmtId="3" fontId="13" fillId="0" borderId="5" xfId="75" applyNumberFormat="1" applyFont="1" applyFill="1" applyBorder="1" applyAlignment="1" applyProtection="1">
      <alignment horizontal="center" vertical="center"/>
    </xf>
    <xf numFmtId="3" fontId="13" fillId="0" borderId="4" xfId="76" applyNumberFormat="1" applyFont="1" applyBorder="1" applyAlignment="1">
      <alignment horizontal="center" vertical="center"/>
    </xf>
    <xf numFmtId="3" fontId="13" fillId="0" borderId="5" xfId="76" applyNumberFormat="1" applyFont="1" applyBorder="1" applyAlignment="1">
      <alignment horizontal="center" vertical="center"/>
    </xf>
    <xf numFmtId="0" fontId="7" fillId="0" borderId="4" xfId="76" applyFont="1" applyBorder="1" applyAlignment="1">
      <alignment horizontal="left" vertical="center"/>
    </xf>
    <xf numFmtId="0" fontId="7" fillId="0" borderId="8" xfId="76" applyFont="1" applyBorder="1" applyAlignment="1">
      <alignment horizontal="left" vertical="center"/>
    </xf>
    <xf numFmtId="0" fontId="7" fillId="0" borderId="5" xfId="76" applyFont="1" applyBorder="1" applyAlignment="1">
      <alignment horizontal="left" vertical="center"/>
    </xf>
    <xf numFmtId="0" fontId="7" fillId="0" borderId="3" xfId="78" applyFont="1" applyBorder="1" applyAlignment="1">
      <alignment horizontal="left" vertical="center"/>
    </xf>
    <xf numFmtId="168" fontId="13" fillId="0" borderId="3" xfId="75" applyNumberFormat="1" applyFont="1" applyFill="1" applyBorder="1" applyAlignment="1" applyProtection="1">
      <alignment horizontal="center" vertical="center"/>
    </xf>
    <xf numFmtId="3" fontId="13" fillId="0" borderId="3" xfId="75" applyNumberFormat="1" applyFont="1" applyFill="1" applyBorder="1" applyAlignment="1" applyProtection="1">
      <alignment horizontal="center" vertical="center"/>
    </xf>
    <xf numFmtId="0" fontId="7" fillId="0" borderId="4" xfId="78" applyFont="1" applyBorder="1" applyAlignment="1">
      <alignment horizontal="center" vertical="center" wrapText="1"/>
    </xf>
    <xf numFmtId="0" fontId="7" fillId="0" borderId="8" xfId="78" applyFont="1" applyBorder="1" applyAlignment="1">
      <alignment horizontal="center" vertical="center" wrapText="1"/>
    </xf>
    <xf numFmtId="0" fontId="7" fillId="0" borderId="5" xfId="78" applyFont="1" applyBorder="1" applyAlignment="1">
      <alignment horizontal="center" vertical="center" wrapText="1"/>
    </xf>
    <xf numFmtId="0" fontId="7" fillId="0" borderId="3" xfId="78" applyFont="1" applyBorder="1" applyAlignment="1">
      <alignment horizontal="center" vertical="center" wrapText="1"/>
    </xf>
    <xf numFmtId="165" fontId="7" fillId="0" borderId="3" xfId="78" applyNumberFormat="1" applyFont="1" applyBorder="1" applyAlignment="1">
      <alignment horizontal="center" vertical="center" wrapText="1"/>
    </xf>
    <xf numFmtId="0" fontId="13" fillId="0" borderId="3" xfId="77" applyFont="1" applyBorder="1" applyAlignment="1">
      <alignment horizontal="left" vertical="center"/>
    </xf>
    <xf numFmtId="3" fontId="13" fillId="0" borderId="3" xfId="93" applyNumberFormat="1" applyFont="1" applyBorder="1" applyAlignment="1">
      <alignment horizontal="center" vertical="center"/>
    </xf>
    <xf numFmtId="0" fontId="7" fillId="0" borderId="4" xfId="94" applyFont="1" applyBorder="1" applyAlignment="1">
      <alignment horizontal="center" vertical="center"/>
    </xf>
    <xf numFmtId="0" fontId="7" fillId="0" borderId="8" xfId="94" applyFont="1" applyBorder="1" applyAlignment="1">
      <alignment horizontal="center" vertical="center"/>
    </xf>
    <xf numFmtId="0" fontId="7" fillId="0" borderId="5" xfId="94" applyFont="1" applyBorder="1" applyAlignment="1">
      <alignment horizontal="center" vertical="center"/>
    </xf>
    <xf numFmtId="3" fontId="7" fillId="0" borderId="3" xfId="98" applyNumberFormat="1" applyFont="1" applyFill="1" applyBorder="1" applyAlignment="1" applyProtection="1">
      <alignment horizontal="center" vertical="center"/>
    </xf>
    <xf numFmtId="0" fontId="5" fillId="0" borderId="2" xfId="100" applyFont="1" applyBorder="1" applyAlignment="1">
      <alignment horizontal="center" vertical="center"/>
    </xf>
    <xf numFmtId="0" fontId="11" fillId="0" borderId="0" xfId="94" applyFont="1" applyAlignment="1">
      <alignment horizontal="center" vertical="center" wrapText="1"/>
    </xf>
    <xf numFmtId="0" fontId="7" fillId="0" borderId="3" xfId="93" applyFont="1" applyBorder="1" applyAlignment="1">
      <alignment horizontal="center" vertical="center"/>
    </xf>
    <xf numFmtId="168" fontId="13" fillId="0" borderId="3" xfId="93" applyNumberFormat="1" applyFont="1" applyBorder="1" applyAlignment="1">
      <alignment horizontal="center" vertical="center"/>
    </xf>
    <xf numFmtId="166" fontId="13" fillId="5" borderId="4" xfId="93" applyNumberFormat="1" applyFont="1" applyFill="1" applyBorder="1" applyAlignment="1">
      <alignment horizontal="center" vertical="center"/>
    </xf>
    <xf numFmtId="166" fontId="13" fillId="5" borderId="5" xfId="93" applyNumberFormat="1" applyFont="1" applyFill="1" applyBorder="1" applyAlignment="1">
      <alignment horizontal="center" vertical="center"/>
    </xf>
    <xf numFmtId="166" fontId="13" fillId="0" borderId="4" xfId="93" applyNumberFormat="1" applyFont="1" applyBorder="1" applyAlignment="1">
      <alignment horizontal="center" vertical="center"/>
    </xf>
    <xf numFmtId="166" fontId="13" fillId="0" borderId="5" xfId="93" applyNumberFormat="1" applyFont="1" applyBorder="1" applyAlignment="1">
      <alignment horizontal="center" vertical="center"/>
    </xf>
    <xf numFmtId="166" fontId="13" fillId="0" borderId="3" xfId="93" applyNumberFormat="1" applyFont="1" applyBorder="1" applyAlignment="1">
      <alignment horizontal="center" vertical="center"/>
    </xf>
    <xf numFmtId="0" fontId="21" fillId="4" borderId="0" xfId="93" applyFont="1" applyFill="1" applyAlignment="1">
      <alignment horizontal="left" vertical="center" wrapText="1"/>
    </xf>
    <xf numFmtId="0" fontId="7" fillId="0" borderId="8" xfId="93" applyFont="1" applyBorder="1" applyAlignment="1">
      <alignment horizontal="center" vertical="center" wrapText="1"/>
    </xf>
    <xf numFmtId="0" fontId="7" fillId="0" borderId="5" xfId="93" applyFont="1" applyBorder="1" applyAlignment="1">
      <alignment horizontal="center" vertical="center" wrapText="1"/>
    </xf>
    <xf numFmtId="0" fontId="7" fillId="0" borderId="3" xfId="93" applyFont="1" applyBorder="1" applyAlignment="1">
      <alignment horizontal="center" vertical="center" wrapText="1"/>
    </xf>
    <xf numFmtId="165" fontId="7" fillId="0" borderId="3" xfId="93" applyNumberFormat="1" applyFont="1" applyBorder="1" applyAlignment="1">
      <alignment horizontal="center" vertical="center" wrapText="1"/>
    </xf>
    <xf numFmtId="165" fontId="7" fillId="0" borderId="4" xfId="93" applyNumberFormat="1" applyFont="1" applyBorder="1" applyAlignment="1">
      <alignment horizontal="center" vertical="center" wrapText="1"/>
    </xf>
    <xf numFmtId="165" fontId="7" fillId="0" borderId="5" xfId="93" applyNumberFormat="1" applyFont="1" applyBorder="1" applyAlignment="1">
      <alignment horizontal="center" vertical="center" wrapText="1"/>
    </xf>
    <xf numFmtId="0" fontId="22" fillId="4" borderId="3" xfId="93" applyFont="1" applyFill="1" applyBorder="1" applyAlignment="1">
      <alignment horizontal="center" vertical="center"/>
    </xf>
    <xf numFmtId="3" fontId="10" fillId="3" borderId="21" xfId="93" applyNumberFormat="1" applyFont="1" applyFill="1" applyBorder="1" applyAlignment="1">
      <alignment horizontal="center" vertical="center"/>
    </xf>
    <xf numFmtId="3" fontId="10" fillId="3" borderId="25" xfId="93" applyNumberFormat="1" applyFont="1" applyFill="1" applyBorder="1" applyAlignment="1">
      <alignment horizontal="center" vertical="center"/>
    </xf>
    <xf numFmtId="0" fontId="12" fillId="0" borderId="23" xfId="97" applyFont="1" applyBorder="1" applyAlignment="1">
      <alignment horizontal="center" vertical="center"/>
    </xf>
    <xf numFmtId="0" fontId="12" fillId="0" borderId="3" xfId="97" applyFont="1" applyBorder="1" applyAlignment="1">
      <alignment horizontal="center" vertical="center"/>
    </xf>
    <xf numFmtId="0" fontId="9" fillId="0" borderId="24" xfId="94" applyFont="1" applyBorder="1" applyAlignment="1">
      <alignment horizontal="center" vertical="center"/>
    </xf>
    <xf numFmtId="0" fontId="9" fillId="0" borderId="27" xfId="94" applyFont="1" applyBorder="1" applyAlignment="1">
      <alignment horizontal="center" vertical="center"/>
    </xf>
    <xf numFmtId="3" fontId="9" fillId="2" borderId="33" xfId="94" applyNumberFormat="1" applyFont="1" applyFill="1" applyBorder="1" applyAlignment="1">
      <alignment horizontal="center" vertical="center"/>
    </xf>
    <xf numFmtId="3" fontId="9" fillId="2" borderId="34" xfId="94" applyNumberFormat="1" applyFont="1" applyFill="1" applyBorder="1" applyAlignment="1">
      <alignment horizontal="center" vertical="center"/>
    </xf>
    <xf numFmtId="3" fontId="9" fillId="2" borderId="35" xfId="94" applyNumberFormat="1" applyFont="1" applyFill="1" applyBorder="1" applyAlignment="1">
      <alignment horizontal="center" vertical="center"/>
    </xf>
    <xf numFmtId="3" fontId="10" fillId="3" borderId="37" xfId="93" applyNumberFormat="1" applyFont="1" applyFill="1" applyBorder="1" applyAlignment="1">
      <alignment horizontal="center" vertical="center"/>
    </xf>
    <xf numFmtId="0" fontId="9" fillId="0" borderId="38" xfId="94" applyFont="1" applyBorder="1" applyAlignment="1">
      <alignment horizontal="center" vertical="center"/>
    </xf>
    <xf numFmtId="3" fontId="9" fillId="2" borderId="17" xfId="94" applyNumberFormat="1" applyFont="1" applyFill="1" applyBorder="1" applyAlignment="1">
      <alignment horizontal="center" vertical="center"/>
    </xf>
    <xf numFmtId="3" fontId="9" fillId="2" borderId="18" xfId="94" applyNumberFormat="1" applyFont="1" applyFill="1" applyBorder="1" applyAlignment="1">
      <alignment horizontal="center" vertical="center"/>
    </xf>
    <xf numFmtId="3" fontId="9" fillId="2" borderId="19" xfId="94" applyNumberFormat="1" applyFont="1" applyFill="1" applyBorder="1" applyAlignment="1">
      <alignment horizontal="center" vertical="center"/>
    </xf>
    <xf numFmtId="0" fontId="1" fillId="0" borderId="1" xfId="93" applyBorder="1" applyAlignment="1">
      <alignment horizontal="center" vertical="center"/>
    </xf>
    <xf numFmtId="0" fontId="1" fillId="0" borderId="15" xfId="93" applyBorder="1" applyAlignment="1">
      <alignment horizontal="center" vertical="center"/>
    </xf>
    <xf numFmtId="0" fontId="1" fillId="0" borderId="6" xfId="93" applyBorder="1" applyAlignment="1">
      <alignment horizontal="center" vertical="center"/>
    </xf>
    <xf numFmtId="0" fontId="17" fillId="0" borderId="2" xfId="93" applyFont="1" applyBorder="1" applyAlignment="1">
      <alignment horizontal="center" vertical="center"/>
    </xf>
    <xf numFmtId="0" fontId="17" fillId="0" borderId="0" xfId="93" applyFont="1" applyAlignment="1">
      <alignment horizontal="center" vertical="center"/>
    </xf>
    <xf numFmtId="0" fontId="17" fillId="0" borderId="7" xfId="93" applyFont="1" applyBorder="1" applyAlignment="1">
      <alignment horizontal="center" vertical="center"/>
    </xf>
    <xf numFmtId="0" fontId="5" fillId="0" borderId="4" xfId="41" applyFont="1" applyBorder="1" applyAlignment="1">
      <alignment horizontal="left" vertical="center" wrapText="1"/>
    </xf>
    <xf numFmtId="0" fontId="5" fillId="0" borderId="5" xfId="41" applyFont="1" applyBorder="1" applyAlignment="1">
      <alignment horizontal="left" vertical="center" wrapText="1"/>
    </xf>
    <xf numFmtId="0" fontId="11" fillId="0" borderId="0" xfId="102" applyFont="1" applyAlignment="1">
      <alignment horizontal="center" vertical="center" wrapText="1"/>
    </xf>
    <xf numFmtId="0" fontId="7" fillId="0" borderId="4" xfId="101" applyFont="1" applyBorder="1" applyAlignment="1">
      <alignment horizontal="center" vertical="center"/>
    </xf>
    <xf numFmtId="0" fontId="7" fillId="0" borderId="8" xfId="101" applyFont="1" applyBorder="1" applyAlignment="1">
      <alignment horizontal="center" vertical="center"/>
    </xf>
    <xf numFmtId="0" fontId="7" fillId="0" borderId="5" xfId="101" applyFont="1" applyBorder="1" applyAlignment="1">
      <alignment horizontal="center" vertical="center"/>
    </xf>
    <xf numFmtId="166" fontId="13" fillId="4" borderId="3" xfId="105" applyNumberFormat="1" applyFont="1" applyFill="1" applyBorder="1" applyAlignment="1">
      <alignment horizontal="center" vertical="center"/>
    </xf>
    <xf numFmtId="166" fontId="13" fillId="0" borderId="4" xfId="101" applyNumberFormat="1" applyFont="1" applyBorder="1" applyAlignment="1">
      <alignment horizontal="center" vertical="center"/>
    </xf>
    <xf numFmtId="166" fontId="13" fillId="0" borderId="5" xfId="101" applyNumberFormat="1" applyFont="1" applyBorder="1" applyAlignment="1">
      <alignment horizontal="center" vertical="center"/>
    </xf>
    <xf numFmtId="166" fontId="13" fillId="0" borderId="3" xfId="101" applyNumberFormat="1" applyFont="1" applyBorder="1" applyAlignment="1">
      <alignment horizontal="center" vertical="center"/>
    </xf>
    <xf numFmtId="3" fontId="13" fillId="0" borderId="3" xfId="104" applyNumberFormat="1" applyFont="1" applyFill="1" applyBorder="1" applyAlignment="1" applyProtection="1">
      <alignment horizontal="center" vertical="center"/>
    </xf>
    <xf numFmtId="0" fontId="7" fillId="0" borderId="3" xfId="101" applyFont="1" applyBorder="1" applyAlignment="1">
      <alignment horizontal="center" vertical="center"/>
    </xf>
    <xf numFmtId="3" fontId="13" fillId="0" borderId="3" xfId="101" applyNumberFormat="1" applyFont="1" applyBorder="1" applyAlignment="1">
      <alignment horizontal="center" vertical="center"/>
    </xf>
    <xf numFmtId="0" fontId="7" fillId="0" borderId="4" xfId="102" applyFont="1" applyBorder="1" applyAlignment="1">
      <alignment horizontal="center" vertical="center"/>
    </xf>
    <xf numFmtId="0" fontId="7" fillId="0" borderId="8" xfId="102" applyFont="1" applyBorder="1" applyAlignment="1">
      <alignment horizontal="center" vertical="center"/>
    </xf>
    <xf numFmtId="0" fontId="7" fillId="0" borderId="5" xfId="102" applyFont="1" applyBorder="1" applyAlignment="1">
      <alignment horizontal="center" vertical="center"/>
    </xf>
    <xf numFmtId="3" fontId="7" fillId="0" borderId="3" xfId="104" applyNumberFormat="1" applyFont="1" applyFill="1" applyBorder="1" applyAlignment="1" applyProtection="1">
      <alignment horizontal="center" vertical="center"/>
    </xf>
    <xf numFmtId="0" fontId="5" fillId="0" borderId="2" xfId="107" applyFont="1" applyBorder="1" applyAlignment="1">
      <alignment horizontal="center" vertical="center"/>
    </xf>
    <xf numFmtId="166" fontId="13" fillId="5" borderId="4" xfId="101" applyNumberFormat="1" applyFont="1" applyFill="1" applyBorder="1" applyAlignment="1">
      <alignment horizontal="center" vertical="center"/>
    </xf>
    <xf numFmtId="166" fontId="13" fillId="5" borderId="5" xfId="101" applyNumberFormat="1" applyFont="1" applyFill="1" applyBorder="1" applyAlignment="1">
      <alignment horizontal="center" vertical="center"/>
    </xf>
    <xf numFmtId="0" fontId="22" fillId="4" borderId="3" xfId="101" applyFont="1" applyFill="1" applyBorder="1" applyAlignment="1">
      <alignment horizontal="center" vertical="center"/>
    </xf>
    <xf numFmtId="3" fontId="10" fillId="3" borderId="25" xfId="101" applyNumberFormat="1" applyFont="1" applyFill="1" applyBorder="1" applyAlignment="1">
      <alignment horizontal="center" vertical="center"/>
    </xf>
    <xf numFmtId="0" fontId="12" fillId="0" borderId="24" xfId="103" applyFont="1" applyBorder="1" applyAlignment="1">
      <alignment horizontal="center" vertical="center"/>
    </xf>
    <xf numFmtId="0" fontId="12" fillId="0" borderId="27" xfId="103" applyFont="1" applyBorder="1" applyAlignment="1">
      <alignment horizontal="center" vertical="center"/>
    </xf>
    <xf numFmtId="0" fontId="12" fillId="0" borderId="48" xfId="103" applyFont="1" applyBorder="1" applyAlignment="1">
      <alignment horizontal="center" vertical="center"/>
    </xf>
    <xf numFmtId="3" fontId="9" fillId="2" borderId="42" xfId="102" applyNumberFormat="1" applyFont="1" applyFill="1" applyBorder="1" applyAlignment="1">
      <alignment horizontal="center" vertical="center"/>
    </xf>
    <xf numFmtId="3" fontId="9" fillId="2" borderId="34" xfId="102" applyNumberFormat="1" applyFont="1" applyFill="1" applyBorder="1" applyAlignment="1">
      <alignment horizontal="center" vertical="center"/>
    </xf>
    <xf numFmtId="3" fontId="9" fillId="2" borderId="43" xfId="102" applyNumberFormat="1" applyFont="1" applyFill="1" applyBorder="1" applyAlignment="1">
      <alignment horizontal="center" vertical="center"/>
    </xf>
    <xf numFmtId="0" fontId="1" fillId="0" borderId="1" xfId="101" applyBorder="1" applyAlignment="1">
      <alignment horizontal="center" vertical="center"/>
    </xf>
    <xf numFmtId="0" fontId="1" fillId="0" borderId="15" xfId="101" applyBorder="1" applyAlignment="1">
      <alignment horizontal="center" vertical="center"/>
    </xf>
    <xf numFmtId="0" fontId="1" fillId="0" borderId="6" xfId="101" applyBorder="1" applyAlignment="1">
      <alignment horizontal="center" vertical="center"/>
    </xf>
    <xf numFmtId="0" fontId="17" fillId="0" borderId="2" xfId="101" applyFont="1" applyBorder="1" applyAlignment="1">
      <alignment horizontal="center" vertical="center"/>
    </xf>
    <xf numFmtId="0" fontId="17" fillId="0" borderId="0" xfId="101" applyFont="1" applyAlignment="1">
      <alignment horizontal="center" vertical="center"/>
    </xf>
    <xf numFmtId="0" fontId="17" fillId="0" borderId="7" xfId="101" applyFont="1" applyBorder="1" applyAlignment="1">
      <alignment horizontal="center" vertical="center"/>
    </xf>
    <xf numFmtId="3" fontId="9" fillId="2" borderId="32" xfId="102" applyNumberFormat="1" applyFont="1" applyFill="1" applyBorder="1" applyAlignment="1">
      <alignment horizontal="center" vertical="center"/>
    </xf>
    <xf numFmtId="3" fontId="9" fillId="2" borderId="40" xfId="102" applyNumberFormat="1" applyFont="1" applyFill="1" applyBorder="1" applyAlignment="1">
      <alignment horizontal="center" vertical="center"/>
    </xf>
    <xf numFmtId="3" fontId="9" fillId="2" borderId="36" xfId="102" applyNumberFormat="1" applyFont="1" applyFill="1" applyBorder="1" applyAlignment="1">
      <alignment horizontal="center" vertical="center"/>
    </xf>
    <xf numFmtId="168" fontId="13" fillId="0" borderId="3" xfId="101" applyNumberFormat="1" applyFont="1" applyBorder="1" applyAlignment="1">
      <alignment horizontal="center" vertical="center"/>
    </xf>
    <xf numFmtId="0" fontId="21" fillId="4" borderId="0" xfId="101" applyFont="1" applyFill="1" applyAlignment="1">
      <alignment horizontal="left" vertical="center" wrapText="1"/>
    </xf>
    <xf numFmtId="0" fontId="21" fillId="10" borderId="0" xfId="101" applyFont="1" applyFill="1" applyAlignment="1">
      <alignment horizontal="left" vertical="center" wrapText="1"/>
    </xf>
    <xf numFmtId="0" fontId="7" fillId="0" borderId="4" xfId="101" applyFont="1" applyBorder="1" applyAlignment="1">
      <alignment horizontal="center" vertical="center" wrapText="1"/>
    </xf>
    <xf numFmtId="0" fontId="7" fillId="0" borderId="8" xfId="101" applyFont="1" applyBorder="1" applyAlignment="1">
      <alignment horizontal="center" vertical="center" wrapText="1"/>
    </xf>
    <xf numFmtId="0" fontId="7" fillId="0" borderId="5" xfId="101" applyFont="1" applyBorder="1" applyAlignment="1">
      <alignment horizontal="center" vertical="center" wrapText="1"/>
    </xf>
    <xf numFmtId="0" fontId="7" fillId="0" borderId="3" xfId="101" applyFont="1" applyBorder="1" applyAlignment="1">
      <alignment horizontal="center" vertical="center" wrapText="1"/>
    </xf>
    <xf numFmtId="165" fontId="7" fillId="0" borderId="3" xfId="101" applyNumberFormat="1" applyFont="1" applyBorder="1" applyAlignment="1">
      <alignment horizontal="center" vertical="center" wrapText="1"/>
    </xf>
    <xf numFmtId="165" fontId="7" fillId="0" borderId="4" xfId="101" applyNumberFormat="1" applyFont="1" applyBorder="1" applyAlignment="1">
      <alignment horizontal="center" vertical="center" wrapText="1"/>
    </xf>
    <xf numFmtId="165" fontId="7" fillId="0" borderId="5" xfId="101" applyNumberFormat="1" applyFont="1" applyBorder="1" applyAlignment="1">
      <alignment horizontal="center" vertical="center" wrapText="1"/>
    </xf>
    <xf numFmtId="0" fontId="5" fillId="0" borderId="0" xfId="107" applyFont="1" applyAlignment="1">
      <alignment horizontal="center" vertical="center"/>
    </xf>
    <xf numFmtId="3" fontId="10" fillId="3" borderId="22" xfId="101" applyNumberFormat="1" applyFont="1" applyFill="1" applyBorder="1" applyAlignment="1">
      <alignment horizontal="center" vertical="center"/>
    </xf>
    <xf numFmtId="3" fontId="10" fillId="3" borderId="47" xfId="101" applyNumberFormat="1" applyFont="1" applyFill="1" applyBorder="1" applyAlignment="1">
      <alignment horizontal="center" vertical="center"/>
    </xf>
    <xf numFmtId="0" fontId="12" fillId="0" borderId="23" xfId="103" applyFont="1" applyBorder="1" applyAlignment="1">
      <alignment horizontal="center" vertical="center"/>
    </xf>
    <xf numFmtId="0" fontId="12" fillId="0" borderId="1" xfId="103" applyFont="1" applyBorder="1" applyAlignment="1">
      <alignment horizontal="center" vertical="center"/>
    </xf>
    <xf numFmtId="0" fontId="12" fillId="0" borderId="38" xfId="103" applyFont="1" applyBorder="1" applyAlignment="1">
      <alignment horizontal="center" vertical="center"/>
    </xf>
    <xf numFmtId="3" fontId="9" fillId="2" borderId="46" xfId="102" applyNumberFormat="1" applyFont="1" applyFill="1" applyBorder="1" applyAlignment="1">
      <alignment horizontal="center" vertical="center"/>
    </xf>
    <xf numFmtId="3" fontId="10" fillId="3" borderId="21" xfId="101" applyNumberFormat="1" applyFont="1" applyFill="1" applyBorder="1" applyAlignment="1">
      <alignment horizontal="center" vertical="center"/>
    </xf>
    <xf numFmtId="0" fontId="12" fillId="0" borderId="41" xfId="103" applyFont="1" applyBorder="1" applyAlignment="1">
      <alignment horizontal="center" vertical="center"/>
    </xf>
  </cellXfs>
  <cellStyles count="114">
    <cellStyle name="Millares 5" xfId="1" xr:uid="{00000000-0005-0000-0000-000031000000}"/>
    <cellStyle name="Millares 5 2" xfId="2" xr:uid="{00000000-0005-0000-0000-000032000000}"/>
    <cellStyle name="Millares 5 2 2" xfId="3" xr:uid="{00000000-0005-0000-0000-000033000000}"/>
    <cellStyle name="Millares 5 2 2 2" xfId="4" xr:uid="{00000000-0005-0000-0000-000034000000}"/>
    <cellStyle name="Millares 5 2 2 2 2" xfId="5" xr:uid="{00000000-0005-0000-0000-000035000000}"/>
    <cellStyle name="Millares 5 2 2 2 2 2" xfId="6" xr:uid="{00000000-0005-0000-0000-000036000000}"/>
    <cellStyle name="Millares 5 2 2 2 2 2 2" xfId="90" xr:uid="{E301BEC8-388A-4F23-B410-B1E6DB803FC2}"/>
    <cellStyle name="Millares 5 2 2 2 2 2 2 2" xfId="104" xr:uid="{635268B3-DCF8-4227-A24F-2AEA2774C0BB}"/>
    <cellStyle name="Millares 5 2 2 2 2 2 3" xfId="98" xr:uid="{CE50E3FA-C4AE-41C7-BB09-CE01C83A3EDD}"/>
    <cellStyle name="Millares 5 3" xfId="7" xr:uid="{00000000-0005-0000-0000-000037000000}"/>
    <cellStyle name="Millares 5 3 2" xfId="8" xr:uid="{00000000-0005-0000-0000-000038000000}"/>
    <cellStyle name="Millares 5 3 2 2" xfId="9" xr:uid="{00000000-0005-0000-0000-000039000000}"/>
    <cellStyle name="Millares 5 3 2 2 2" xfId="75" xr:uid="{B92F7EF7-A2C7-48C6-BE36-0865965A0DD5}"/>
    <cellStyle name="Millares 5 3 2 2 2 2" xfId="111" xr:uid="{3B5A7903-CC15-4FDA-81F4-C6BB16E876C4}"/>
    <cellStyle name="Millares 5 4" xfId="84" xr:uid="{DDBD0A68-7EA8-4183-9127-39B8841C55A6}"/>
    <cellStyle name="Normal" xfId="0" builtinId="0"/>
    <cellStyle name="Normal 2 2 2" xfId="10" xr:uid="{00000000-0005-0000-0000-00003A000000}"/>
    <cellStyle name="Normal 2 2 2 2" xfId="11" xr:uid="{00000000-0005-0000-0000-00003B000000}"/>
    <cellStyle name="Normal 2 2 2 2 2" xfId="12" xr:uid="{00000000-0005-0000-0000-00003C000000}"/>
    <cellStyle name="Normal 2 2 2 2 2 2" xfId="13" xr:uid="{00000000-0005-0000-0000-00003D000000}"/>
    <cellStyle name="Normal 2 2 2 2 2 2 2" xfId="14" xr:uid="{00000000-0005-0000-0000-00003E000000}"/>
    <cellStyle name="Normal 2 2 2 2 2 2 2 2" xfId="15" xr:uid="{00000000-0005-0000-0000-00003F000000}"/>
    <cellStyle name="Normal 2 2 2 2 2 2 2 2 2" xfId="88" xr:uid="{9BD3B634-5169-4E2E-8BCF-B75292BB2B29}"/>
    <cellStyle name="Normal 2 2 2 2 2 2 2 2 2 2" xfId="102" xr:uid="{7568D1C1-284D-4A24-93BC-355DA4E05267}"/>
    <cellStyle name="Normal 2 2 2 2 2 2 2 2 3" xfId="94" xr:uid="{47F40EF1-0BA7-4F77-8CA7-B1150EDAEBBE}"/>
    <cellStyle name="Normal 2 2 2 3" xfId="16" xr:uid="{00000000-0005-0000-0000-000040000000}"/>
    <cellStyle name="Normal 2 2 2 3 2" xfId="17" xr:uid="{00000000-0005-0000-0000-000041000000}"/>
    <cellStyle name="Normal 2 2 2 3 2 2" xfId="83" xr:uid="{2D332644-F7F8-454D-8762-2024BA475183}"/>
    <cellStyle name="Normal 2 2 2 3 2 2 2" xfId="18" xr:uid="{00000000-0005-0000-0000-000042000000}"/>
    <cellStyle name="Normal 2 2 2 3 2 2 2 2" xfId="19" xr:uid="{00000000-0005-0000-0000-000043000000}"/>
    <cellStyle name="Normal 2 2 2 3 2 2 2 2 2" xfId="20" xr:uid="{00000000-0005-0000-0000-000044000000}"/>
    <cellStyle name="Normal 2 2 2 3 2 2 2 2 2 2" xfId="21" xr:uid="{00000000-0005-0000-0000-000045000000}"/>
    <cellStyle name="Normal 2 2 2 3 2 2 2 2 2 2 2" xfId="22" xr:uid="{00000000-0005-0000-0000-000046000000}"/>
    <cellStyle name="Normal 2 2 2 3 2 2 2 2 2 2 2 2" xfId="23" xr:uid="{00000000-0005-0000-0000-000047000000}"/>
    <cellStyle name="Normal 2 2 2 3 2 2 2 2 2 2 2 2 2" xfId="92" xr:uid="{45C88D13-F43C-4981-B897-F52656707E16}"/>
    <cellStyle name="Normal 2 2 2 3 2 2 2 2 2 2 2 2 2 2" xfId="107" xr:uid="{594066E0-3296-4999-B4B4-5A893FF93A6E}"/>
    <cellStyle name="Normal 2 2 2 3 2 2 2 2 2 2 2 2 3" xfId="100" xr:uid="{731EE66B-E9F2-4369-ACF3-72F51E929E0F}"/>
    <cellStyle name="Normal 2 2 2 3 2 2 2 3" xfId="24" xr:uid="{00000000-0005-0000-0000-000048000000}"/>
    <cellStyle name="Normal 2 2 2 3 2 2 2 3 2" xfId="25" xr:uid="{00000000-0005-0000-0000-000049000000}"/>
    <cellStyle name="Normal 2 2 2 3 2 2 2 3 2 2" xfId="26" xr:uid="{00000000-0005-0000-0000-00004A000000}"/>
    <cellStyle name="Normal 2 2 2 3 2 2 2 3 2 2 2" xfId="77" xr:uid="{C196D921-5F37-443B-903D-F838F826244E}"/>
    <cellStyle name="Normal 2 2 2 3 2 2 2 3 2 2 2 2" xfId="113" xr:uid="{24540869-E2D2-47A2-AA56-BF8D78763429}"/>
    <cellStyle name="Normal 2 2 2 3 2 2 2 3 2 2 3" xfId="95" xr:uid="{B4BBE438-D710-4751-B102-9042B49C5C73}"/>
    <cellStyle name="Normal 2 2 2 3 2 2 2 4" xfId="87" xr:uid="{7E81EC5D-F2B3-498B-BE09-E15E5B22DF95}"/>
    <cellStyle name="Normal 2 2 2 3 3" xfId="27" xr:uid="{00000000-0005-0000-0000-00004B000000}"/>
    <cellStyle name="Normal 2 2 2 3 3 2" xfId="28" xr:uid="{00000000-0005-0000-0000-00004C000000}"/>
    <cellStyle name="Normal 2 2 2 3 3 2 2" xfId="73" xr:uid="{DB238524-98B2-4B05-9042-DD2E8492F784}"/>
    <cellStyle name="Normal 2 2 2 3 3 2 2 2" xfId="109" xr:uid="{39566F37-3336-4669-90B9-6B282EBEFA6E}"/>
    <cellStyle name="Normal 2 2 2 4" xfId="81" xr:uid="{88507CBA-D337-4DE3-8B6E-8CFE03E1C39E}"/>
    <cellStyle name="Normal 2 2 2 4 2" xfId="105" xr:uid="{F44517AB-511E-4F52-ABD6-DEC60A183E4B}"/>
    <cellStyle name="Normal 2 2 2 7" xfId="29" xr:uid="{00000000-0005-0000-0000-00004D000000}"/>
    <cellStyle name="Normal 2 2 2 7 2" xfId="79" xr:uid="{3524B109-44DE-407A-85B0-94335C363471}"/>
    <cellStyle name="Normal 2 3 2" xfId="30" xr:uid="{00000000-0005-0000-0000-00004E000000}"/>
    <cellStyle name="Normal 2 3 2 2" xfId="31" xr:uid="{00000000-0005-0000-0000-00004F000000}"/>
    <cellStyle name="Normal 2 3 2 3" xfId="32" xr:uid="{00000000-0005-0000-0000-000050000000}"/>
    <cellStyle name="Normal 2 3 2 3 2" xfId="33" xr:uid="{00000000-0005-0000-0000-000051000000}"/>
    <cellStyle name="Normal 2 3 2 3 2 2" xfId="34" xr:uid="{00000000-0005-0000-0000-000052000000}"/>
    <cellStyle name="Normal 2 3 2 3 2 2 2" xfId="35" xr:uid="{00000000-0005-0000-0000-000053000000}"/>
    <cellStyle name="Normal 4" xfId="36" xr:uid="{00000000-0005-0000-0000-000054000000}"/>
    <cellStyle name="Normal 4 2" xfId="37" xr:uid="{00000000-0005-0000-0000-000055000000}"/>
    <cellStyle name="Normal 4 2 2" xfId="38" xr:uid="{00000000-0005-0000-0000-000056000000}"/>
    <cellStyle name="Normal 4 2 2 2" xfId="39" xr:uid="{00000000-0005-0000-0000-000057000000}"/>
    <cellStyle name="Normal 4 2 2 2 2" xfId="40" xr:uid="{00000000-0005-0000-0000-000058000000}"/>
    <cellStyle name="Normal 4 2 2 2 2 2" xfId="41" xr:uid="{00000000-0005-0000-0000-000059000000}"/>
    <cellStyle name="Normal 4 2 3" xfId="42" xr:uid="{00000000-0005-0000-0000-00005A000000}"/>
    <cellStyle name="Normal 4 2 3 2" xfId="43" xr:uid="{00000000-0005-0000-0000-00005B000000}"/>
    <cellStyle name="Normal 4 2 3 2 2" xfId="44" xr:uid="{00000000-0005-0000-0000-00005C000000}"/>
    <cellStyle name="Normal 4 2 3 2 2 2" xfId="45" xr:uid="{00000000-0005-0000-0000-00005D000000}"/>
    <cellStyle name="Normal 4 3" xfId="46" xr:uid="{00000000-0005-0000-0000-00005E000000}"/>
    <cellStyle name="Normal 4 3 2" xfId="47" xr:uid="{00000000-0005-0000-0000-00005F000000}"/>
    <cellStyle name="Normal 4 3 2 2" xfId="48" xr:uid="{00000000-0005-0000-0000-000060000000}"/>
    <cellStyle name="Normal 4 3 2 2 2" xfId="49" xr:uid="{00000000-0005-0000-0000-000061000000}"/>
    <cellStyle name="Normal 4 3 2 2 2 2" xfId="50" xr:uid="{00000000-0005-0000-0000-000062000000}"/>
    <cellStyle name="Normal 4 3 2 2 2 2 2" xfId="78" xr:uid="{C84E9A58-0E67-4DCF-8186-03CB4835F498}"/>
    <cellStyle name="Normal 4 3 2 2 2 2 3" xfId="86" xr:uid="{F810D1A4-342A-4D79-AD70-0A1331F7667B}"/>
    <cellStyle name="Normal 4 3 2 2 2 2 3 2" xfId="101" xr:uid="{C41421F8-F68A-42AD-B06F-DE0A69CE08B6}"/>
    <cellStyle name="Normal 4 3 2 2 2 2 4" xfId="93" xr:uid="{9743353F-F010-4506-B706-363DB9470774}"/>
    <cellStyle name="Normal 4 4" xfId="51" xr:uid="{00000000-0005-0000-0000-000063000000}"/>
    <cellStyle name="Normal 4 4 2" xfId="52" xr:uid="{00000000-0005-0000-0000-000064000000}"/>
    <cellStyle name="Normal 4 4 2 2" xfId="53" xr:uid="{00000000-0005-0000-0000-000065000000}"/>
    <cellStyle name="Normal 4 4 2 2 2" xfId="72" xr:uid="{2AF8E299-4421-44A4-BF29-237F1AA9DB4C}"/>
    <cellStyle name="Normal 4 4 2 2 2 2" xfId="108" xr:uid="{5B9F0E12-6BED-4B83-98EB-9403483A5749}"/>
    <cellStyle name="Normal 4 4 2 2 3" xfId="96" xr:uid="{172BF2BC-CDA5-4BF7-8F1E-B676D8EB9C30}"/>
    <cellStyle name="Normal 4 5" xfId="80" xr:uid="{F08F32BA-85D7-4355-B592-E0845C014EE5}"/>
    <cellStyle name="Normal 4 7" xfId="54" xr:uid="{00000000-0005-0000-0000-000066000000}"/>
    <cellStyle name="Normal 4 7 2" xfId="55" xr:uid="{00000000-0005-0000-0000-000067000000}"/>
    <cellStyle name="Normal 4 7 2 2" xfId="56" xr:uid="{00000000-0005-0000-0000-000068000000}"/>
    <cellStyle name="Normal 4 7 2 2 2" xfId="57" xr:uid="{00000000-0005-0000-0000-000069000000}"/>
    <cellStyle name="Normal 4 7 2 2 2 2" xfId="58" xr:uid="{00000000-0005-0000-0000-00006A000000}"/>
    <cellStyle name="Normal 4 7 2 2 2 2 2" xfId="59" xr:uid="{00000000-0005-0000-0000-00006B000000}"/>
    <cellStyle name="Normal 4 7 2 2 2 2 2 2" xfId="91" xr:uid="{FEF68AE3-19BE-414B-96FE-7C8C5FA0D76D}"/>
    <cellStyle name="Normal 4 7 2 2 2 2 2 2 2" xfId="106" xr:uid="{C685A96D-476E-4C51-93B0-1AE3AAF87A56}"/>
    <cellStyle name="Normal 4 7 2 2 2 2 2 3" xfId="99" xr:uid="{CB11707F-9FBD-4FD4-8BC8-C837EB7502E3}"/>
    <cellStyle name="Normal 4 7 3" xfId="60" xr:uid="{00000000-0005-0000-0000-00006C000000}"/>
    <cellStyle name="Normal 4 7 3 2" xfId="61" xr:uid="{00000000-0005-0000-0000-00006D000000}"/>
    <cellStyle name="Normal 4 7 3 2 2" xfId="62" xr:uid="{00000000-0005-0000-0000-00006E000000}"/>
    <cellStyle name="Normal 4 7 3 2 2 2" xfId="76" xr:uid="{2063E968-770D-4437-8EBD-F59F4BF6A6A3}"/>
    <cellStyle name="Normal 4 7 3 2 2 2 2" xfId="112" xr:uid="{E03C97ED-C79B-421F-8E5D-3A6EFBBE7997}"/>
    <cellStyle name="Normal 4 7 4" xfId="85" xr:uid="{3927BEE4-25FF-47A7-BD16-CF1595ECE887}"/>
    <cellStyle name="Normal 7" xfId="63" xr:uid="{00000000-0005-0000-0000-00006F000000}"/>
    <cellStyle name="Normal 7 2" xfId="64" xr:uid="{00000000-0005-0000-0000-000070000000}"/>
    <cellStyle name="Normal 7 2 2" xfId="65" xr:uid="{00000000-0005-0000-0000-000071000000}"/>
    <cellStyle name="Normal 7 2 2 2" xfId="66" xr:uid="{00000000-0005-0000-0000-000072000000}"/>
    <cellStyle name="Normal 7 2 2 2 2" xfId="67" xr:uid="{00000000-0005-0000-0000-000073000000}"/>
    <cellStyle name="Normal 7 2 2 2 2 2" xfId="68" xr:uid="{00000000-0005-0000-0000-000074000000}"/>
    <cellStyle name="Normal 7 2 2 2 2 2 2" xfId="89" xr:uid="{10AEEB6C-FC59-4B88-995C-DA16C8D3CC94}"/>
    <cellStyle name="Normal 7 2 2 2 2 2 2 2" xfId="103" xr:uid="{C967890A-4AEC-44C6-ADC5-9522D5651202}"/>
    <cellStyle name="Normal 7 2 2 2 2 2 3" xfId="97" xr:uid="{BF80C958-B418-4C24-9CD9-13DDAB7E4CA6}"/>
    <cellStyle name="Normal 7 3" xfId="69" xr:uid="{00000000-0005-0000-0000-000075000000}"/>
    <cellStyle name="Normal 7 3 2" xfId="70" xr:uid="{00000000-0005-0000-0000-000076000000}"/>
    <cellStyle name="Normal 7 3 2 2" xfId="71" xr:uid="{00000000-0005-0000-0000-000077000000}"/>
    <cellStyle name="Normal 7 3 2 2 2" xfId="74" xr:uid="{79C20D63-211C-4AD4-891A-071C056F0236}"/>
    <cellStyle name="Normal 7 3 2 2 2 2" xfId="110" xr:uid="{E2E5F114-6F4F-4480-9F48-113BD5920063}"/>
    <cellStyle name="Normal 7 4" xfId="82" xr:uid="{3D271B67-43F7-4AC1-BA46-99879A255E92}"/>
  </cellStyles>
  <dxfs count="110">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4"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2299264503923"/>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rgb="FFFFC000"/>
        </patternFill>
      </fill>
    </dxf>
    <dxf>
      <fill>
        <patternFill patternType="solid">
          <bgColor rgb="FFFFFF00"/>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theme="8" tint="0.39982299264503923"/>
        </patternFill>
      </fill>
    </dxf>
    <dxf>
      <fill>
        <patternFill patternType="solid">
          <bgColor rgb="FF92D050"/>
        </patternFill>
      </fill>
    </dxf>
    <dxf>
      <fill>
        <patternFill patternType="solid">
          <bgColor rgb="FF92D050"/>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
      <fill>
        <patternFill patternType="solid">
          <bgColor theme="8" tint="0.39985351115451523"/>
        </patternFill>
      </fill>
    </dxf>
  </dxfs>
  <tableStyles count="1" defaultTableStyle="TableStyleMedium2" defaultPivotStyle="PivotStyleLight16">
    <tableStyle name="Invisible" pivot="0" table="0" count="0" xr9:uid="{E1557414-BC4D-4F37-91D6-EF38DF61C63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png"/><Relationship Id="rId1" Type="http://schemas.openxmlformats.org/officeDocument/2006/relationships/image" Target="../media/image1.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png"/><Relationship Id="rId1" Type="http://schemas.openxmlformats.org/officeDocument/2006/relationships/image" Target="../media/image1.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png"/><Relationship Id="rId1" Type="http://schemas.openxmlformats.org/officeDocument/2006/relationships/image" Target="../media/image1.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6.png"/><Relationship Id="rId1" Type="http://schemas.openxmlformats.org/officeDocument/2006/relationships/image" Target="../media/image1.png"/><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170815</xdr:colOff>
      <xdr:row>1</xdr:row>
      <xdr:rowOff>50165</xdr:rowOff>
    </xdr:from>
    <xdr:to>
      <xdr:col>1</xdr:col>
      <xdr:colOff>2305050</xdr:colOff>
      <xdr:row>4</xdr:row>
      <xdr:rowOff>195580</xdr:rowOff>
    </xdr:to>
    <xdr:pic>
      <xdr:nvPicPr>
        <xdr:cNvPr id="2" name="Imagen 13" descr="Logotipo, nombre de la empresa&#10;&#10;Descripción generada automáticamente">
          <a:extLst>
            <a:ext uri="{FF2B5EF4-FFF2-40B4-BE49-F238E27FC236}">
              <a16:creationId xmlns:a16="http://schemas.microsoft.com/office/drawing/2014/main" id="{A8CF7019-65A4-477C-8080-AD152A3E08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32765" y="250190"/>
          <a:ext cx="2134235" cy="7454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252009</xdr:colOff>
      <xdr:row>53</xdr:row>
      <xdr:rowOff>12361</xdr:rowOff>
    </xdr:from>
    <xdr:to>
      <xdr:col>13</xdr:col>
      <xdr:colOff>52848</xdr:colOff>
      <xdr:row>56</xdr:row>
      <xdr:rowOff>131178</xdr:rowOff>
    </xdr:to>
    <xdr:pic>
      <xdr:nvPicPr>
        <xdr:cNvPr id="3" name="Imagen 2">
          <a:extLst>
            <a:ext uri="{FF2B5EF4-FFF2-40B4-BE49-F238E27FC236}">
              <a16:creationId xmlns:a16="http://schemas.microsoft.com/office/drawing/2014/main" id="{855F3724-4720-432C-88DD-55DD8493341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53057" y="10592280"/>
          <a:ext cx="1767291" cy="764059"/>
        </a:xfrm>
        <a:prstGeom prst="rect">
          <a:avLst/>
        </a:prstGeom>
      </xdr:spPr>
    </xdr:pic>
    <xdr:clientData/>
  </xdr:twoCellAnchor>
  <xdr:twoCellAnchor editAs="oneCell">
    <xdr:from>
      <xdr:col>1</xdr:col>
      <xdr:colOff>275167</xdr:colOff>
      <xdr:row>54</xdr:row>
      <xdr:rowOff>21167</xdr:rowOff>
    </xdr:from>
    <xdr:to>
      <xdr:col>1</xdr:col>
      <xdr:colOff>2145242</xdr:colOff>
      <xdr:row>55</xdr:row>
      <xdr:rowOff>144569</xdr:rowOff>
    </xdr:to>
    <xdr:pic>
      <xdr:nvPicPr>
        <xdr:cNvPr id="4" name="Imagen 3">
          <a:extLst>
            <a:ext uri="{FF2B5EF4-FFF2-40B4-BE49-F238E27FC236}">
              <a16:creationId xmlns:a16="http://schemas.microsoft.com/office/drawing/2014/main" id="{D0672AD1-843E-4C6C-BF0A-0F2D188897B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637117" y="9850967"/>
          <a:ext cx="1870075" cy="3234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23812</xdr:colOff>
      <xdr:row>52</xdr:row>
      <xdr:rowOff>130969</xdr:rowOff>
    </xdr:from>
    <xdr:to>
      <xdr:col>31</xdr:col>
      <xdr:colOff>321310</xdr:colOff>
      <xdr:row>55</xdr:row>
      <xdr:rowOff>8890</xdr:rowOff>
    </xdr:to>
    <xdr:pic>
      <xdr:nvPicPr>
        <xdr:cNvPr id="5" name="Imagen 4" descr="Interfaz de usuario gráfica, Texto&#10;&#10;El contenido generado por IA puede ser incorrecto.">
          <a:extLst>
            <a:ext uri="{FF2B5EF4-FFF2-40B4-BE49-F238E27FC236}">
              <a16:creationId xmlns:a16="http://schemas.microsoft.com/office/drawing/2014/main" id="{36E29D9D-3E0B-F738-8B9A-DFEE77324DFC}"/>
            </a:ext>
          </a:extLst>
        </xdr:cNvPr>
        <xdr:cNvPicPr>
          <a:picLocks noChangeAspect="1"/>
        </xdr:cNvPicPr>
      </xdr:nvPicPr>
      <xdr:blipFill rotWithShape="1">
        <a:blip xmlns:r="http://schemas.openxmlformats.org/officeDocument/2006/relationships" r:embed="rId4"/>
        <a:srcRect l="34528" t="63103" r="34962" b="19566"/>
        <a:stretch/>
      </xdr:blipFill>
      <xdr:spPr>
        <a:xfrm>
          <a:off x="10822781" y="10382250"/>
          <a:ext cx="1940560" cy="4851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170815</xdr:colOff>
      <xdr:row>1</xdr:row>
      <xdr:rowOff>50165</xdr:rowOff>
    </xdr:from>
    <xdr:to>
      <xdr:col>1</xdr:col>
      <xdr:colOff>2305050</xdr:colOff>
      <xdr:row>4</xdr:row>
      <xdr:rowOff>195580</xdr:rowOff>
    </xdr:to>
    <xdr:pic>
      <xdr:nvPicPr>
        <xdr:cNvPr id="2" name="Imagen 13" descr="Logotipo, nombre de la empresa&#10;&#10;Descripción generada automáticamente">
          <a:extLst>
            <a:ext uri="{FF2B5EF4-FFF2-40B4-BE49-F238E27FC236}">
              <a16:creationId xmlns:a16="http://schemas.microsoft.com/office/drawing/2014/main" id="{4AD55A76-E7B3-45AD-8C80-F719F58389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32765" y="250190"/>
          <a:ext cx="2134235" cy="7454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313461</xdr:colOff>
      <xdr:row>46</xdr:row>
      <xdr:rowOff>32844</xdr:rowOff>
    </xdr:from>
    <xdr:to>
      <xdr:col>13</xdr:col>
      <xdr:colOff>114300</xdr:colOff>
      <xdr:row>49</xdr:row>
      <xdr:rowOff>151661</xdr:rowOff>
    </xdr:to>
    <xdr:pic>
      <xdr:nvPicPr>
        <xdr:cNvPr id="3" name="Imagen 2">
          <a:extLst>
            <a:ext uri="{FF2B5EF4-FFF2-40B4-BE49-F238E27FC236}">
              <a16:creationId xmlns:a16="http://schemas.microsoft.com/office/drawing/2014/main" id="{DA73A12C-CCDE-4C08-9F5A-899C3FE102C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009286" y="9662619"/>
          <a:ext cx="1743939" cy="756993"/>
        </a:xfrm>
        <a:prstGeom prst="rect">
          <a:avLst/>
        </a:prstGeom>
      </xdr:spPr>
    </xdr:pic>
    <xdr:clientData/>
  </xdr:twoCellAnchor>
  <xdr:twoCellAnchor editAs="oneCell">
    <xdr:from>
      <xdr:col>1</xdr:col>
      <xdr:colOff>275167</xdr:colOff>
      <xdr:row>47</xdr:row>
      <xdr:rowOff>21167</xdr:rowOff>
    </xdr:from>
    <xdr:to>
      <xdr:col>1</xdr:col>
      <xdr:colOff>2145242</xdr:colOff>
      <xdr:row>48</xdr:row>
      <xdr:rowOff>144570</xdr:rowOff>
    </xdr:to>
    <xdr:pic>
      <xdr:nvPicPr>
        <xdr:cNvPr id="4" name="Imagen 3">
          <a:extLst>
            <a:ext uri="{FF2B5EF4-FFF2-40B4-BE49-F238E27FC236}">
              <a16:creationId xmlns:a16="http://schemas.microsoft.com/office/drawing/2014/main" id="{E71A0E3F-3B94-4DEF-9A2D-D770C181F8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637117" y="9850967"/>
          <a:ext cx="1870075" cy="3234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71693</xdr:colOff>
      <xdr:row>46</xdr:row>
      <xdr:rowOff>122903</xdr:rowOff>
    </xdr:from>
    <xdr:to>
      <xdr:col>31</xdr:col>
      <xdr:colOff>25317</xdr:colOff>
      <xdr:row>48</xdr:row>
      <xdr:rowOff>198366</xdr:rowOff>
    </xdr:to>
    <xdr:pic>
      <xdr:nvPicPr>
        <xdr:cNvPr id="5" name="Imagen 4" descr="Interfaz de usuario gráfica, Texto&#10;&#10;El contenido generado por IA puede ser incorrecto.">
          <a:extLst>
            <a:ext uri="{FF2B5EF4-FFF2-40B4-BE49-F238E27FC236}">
              <a16:creationId xmlns:a16="http://schemas.microsoft.com/office/drawing/2014/main" id="{239A15EE-630B-4BA6-9D1E-AC3EB1CC6219}"/>
            </a:ext>
          </a:extLst>
        </xdr:cNvPr>
        <xdr:cNvPicPr>
          <a:picLocks noChangeAspect="1"/>
        </xdr:cNvPicPr>
      </xdr:nvPicPr>
      <xdr:blipFill rotWithShape="1">
        <a:blip xmlns:r="http://schemas.openxmlformats.org/officeDocument/2006/relationships" r:embed="rId4"/>
        <a:srcRect l="34528" t="63103" r="34962" b="19566"/>
        <a:stretch/>
      </xdr:blipFill>
      <xdr:spPr>
        <a:xfrm>
          <a:off x="10672096" y="9350887"/>
          <a:ext cx="1940560" cy="4851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879929</xdr:colOff>
      <xdr:row>1</xdr:row>
      <xdr:rowOff>203261</xdr:rowOff>
    </xdr:from>
    <xdr:to>
      <xdr:col>1</xdr:col>
      <xdr:colOff>3093356</xdr:colOff>
      <xdr:row>4</xdr:row>
      <xdr:rowOff>132080</xdr:rowOff>
    </xdr:to>
    <xdr:pic>
      <xdr:nvPicPr>
        <xdr:cNvPr id="2" name="Imagen 13" descr="Logotipo, nombre de la empresa&#10;&#10;Descripción generada automáticamente">
          <a:extLst>
            <a:ext uri="{FF2B5EF4-FFF2-40B4-BE49-F238E27FC236}">
              <a16:creationId xmlns:a16="http://schemas.microsoft.com/office/drawing/2014/main" id="{192CE815-3CE6-4DC8-896A-C6F3E08D6E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641929" y="393761"/>
          <a:ext cx="2213427" cy="9289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12</xdr:col>
      <xdr:colOff>54429</xdr:colOff>
      <xdr:row>50</xdr:row>
      <xdr:rowOff>0</xdr:rowOff>
    </xdr:from>
    <xdr:ext cx="2303798" cy="710260"/>
    <xdr:pic>
      <xdr:nvPicPr>
        <xdr:cNvPr id="3" name="Imagen 2">
          <a:extLst>
            <a:ext uri="{FF2B5EF4-FFF2-40B4-BE49-F238E27FC236}">
              <a16:creationId xmlns:a16="http://schemas.microsoft.com/office/drawing/2014/main" id="{B0A62766-5222-4D6D-9B30-06598DD41B51}"/>
            </a:ext>
          </a:extLst>
        </xdr:cNvPr>
        <xdr:cNvPicPr>
          <a:picLocks noChangeAspect="1"/>
        </xdr:cNvPicPr>
      </xdr:nvPicPr>
      <xdr:blipFill>
        <a:blip xmlns:r="http://schemas.openxmlformats.org/officeDocument/2006/relationships" r:embed="rId2"/>
        <a:stretch>
          <a:fillRect/>
        </a:stretch>
      </xdr:blipFill>
      <xdr:spPr>
        <a:xfrm>
          <a:off x="7788729" y="12801600"/>
          <a:ext cx="2303798" cy="710260"/>
        </a:xfrm>
        <a:prstGeom prst="rect">
          <a:avLst/>
        </a:prstGeom>
        <a:ln>
          <a:noFill/>
        </a:ln>
        <a:effectLst>
          <a:softEdge rad="112500"/>
        </a:effectLst>
      </xdr:spPr>
    </xdr:pic>
    <xdr:clientData/>
  </xdr:oneCellAnchor>
  <xdr:twoCellAnchor editAs="oneCell">
    <xdr:from>
      <xdr:col>1</xdr:col>
      <xdr:colOff>680357</xdr:colOff>
      <xdr:row>50</xdr:row>
      <xdr:rowOff>81643</xdr:rowOff>
    </xdr:from>
    <xdr:to>
      <xdr:col>1</xdr:col>
      <xdr:colOff>2550432</xdr:colOff>
      <xdr:row>52</xdr:row>
      <xdr:rowOff>1670</xdr:rowOff>
    </xdr:to>
    <xdr:pic>
      <xdr:nvPicPr>
        <xdr:cNvPr id="4" name="Imagen 3">
          <a:extLst>
            <a:ext uri="{FF2B5EF4-FFF2-40B4-BE49-F238E27FC236}">
              <a16:creationId xmlns:a16="http://schemas.microsoft.com/office/drawing/2014/main" id="{940A14A1-A164-401D-91F2-6E131D87CA9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442357" y="12883243"/>
          <a:ext cx="1870075" cy="3200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40823</xdr:colOff>
      <xdr:row>49</xdr:row>
      <xdr:rowOff>176892</xdr:rowOff>
    </xdr:from>
    <xdr:to>
      <xdr:col>37</xdr:col>
      <xdr:colOff>280490</xdr:colOff>
      <xdr:row>52</xdr:row>
      <xdr:rowOff>49711</xdr:rowOff>
    </xdr:to>
    <xdr:pic>
      <xdr:nvPicPr>
        <xdr:cNvPr id="5" name="Imagen 4" descr="Interfaz de usuario gráfica, Texto&#10;&#10;El contenido generado por IA puede ser incorrecto.">
          <a:extLst>
            <a:ext uri="{FF2B5EF4-FFF2-40B4-BE49-F238E27FC236}">
              <a16:creationId xmlns:a16="http://schemas.microsoft.com/office/drawing/2014/main" id="{D29AA708-7580-4F9F-B515-583394704B88}"/>
            </a:ext>
          </a:extLst>
        </xdr:cNvPr>
        <xdr:cNvPicPr>
          <a:picLocks noChangeAspect="1"/>
        </xdr:cNvPicPr>
      </xdr:nvPicPr>
      <xdr:blipFill rotWithShape="1">
        <a:blip xmlns:r="http://schemas.openxmlformats.org/officeDocument/2006/relationships" r:embed="rId4"/>
        <a:srcRect l="34528" t="63103" r="34962" b="19566"/>
        <a:stretch/>
      </xdr:blipFill>
      <xdr:spPr>
        <a:xfrm>
          <a:off x="14750144" y="12273642"/>
          <a:ext cx="1940560" cy="4851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624386</xdr:colOff>
      <xdr:row>1</xdr:row>
      <xdr:rowOff>122735</xdr:rowOff>
    </xdr:from>
    <xdr:to>
      <xdr:col>1</xdr:col>
      <xdr:colOff>3129642</xdr:colOff>
      <xdr:row>4</xdr:row>
      <xdr:rowOff>268150</xdr:rowOff>
    </xdr:to>
    <xdr:pic>
      <xdr:nvPicPr>
        <xdr:cNvPr id="2" name="Imagen 13" descr="Logotipo, nombre de la empresa&#10;&#10;Descripción generada automáticamente">
          <a:extLst>
            <a:ext uri="{FF2B5EF4-FFF2-40B4-BE49-F238E27FC236}">
              <a16:creationId xmlns:a16="http://schemas.microsoft.com/office/drawing/2014/main" id="{E6FF3465-0984-4B18-8790-9291C2169B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386386" y="313235"/>
          <a:ext cx="2505256" cy="1145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12</xdr:col>
      <xdr:colOff>326570</xdr:colOff>
      <xdr:row>41</xdr:row>
      <xdr:rowOff>190500</xdr:rowOff>
    </xdr:from>
    <xdr:ext cx="2356627" cy="726989"/>
    <xdr:pic>
      <xdr:nvPicPr>
        <xdr:cNvPr id="3" name="Imagen 2">
          <a:extLst>
            <a:ext uri="{FF2B5EF4-FFF2-40B4-BE49-F238E27FC236}">
              <a16:creationId xmlns:a16="http://schemas.microsoft.com/office/drawing/2014/main" id="{01DC1FD4-152C-473B-A2AB-1660230868C9}"/>
            </a:ext>
          </a:extLst>
        </xdr:cNvPr>
        <xdr:cNvPicPr>
          <a:picLocks noChangeAspect="1"/>
        </xdr:cNvPicPr>
      </xdr:nvPicPr>
      <xdr:blipFill>
        <a:blip xmlns:r="http://schemas.openxmlformats.org/officeDocument/2006/relationships" r:embed="rId2"/>
        <a:stretch>
          <a:fillRect/>
        </a:stretch>
      </xdr:blipFill>
      <xdr:spPr>
        <a:xfrm>
          <a:off x="8422820" y="10001250"/>
          <a:ext cx="2356627" cy="726989"/>
        </a:xfrm>
        <a:prstGeom prst="rect">
          <a:avLst/>
        </a:prstGeom>
        <a:ln>
          <a:noFill/>
        </a:ln>
        <a:effectLst>
          <a:softEdge rad="112500"/>
        </a:effectLst>
      </xdr:spPr>
    </xdr:pic>
    <xdr:clientData/>
  </xdr:oneCellAnchor>
  <xdr:twoCellAnchor editAs="oneCell">
    <xdr:from>
      <xdr:col>1</xdr:col>
      <xdr:colOff>830035</xdr:colOff>
      <xdr:row>42</xdr:row>
      <xdr:rowOff>176893</xdr:rowOff>
    </xdr:from>
    <xdr:to>
      <xdr:col>1</xdr:col>
      <xdr:colOff>2700110</xdr:colOff>
      <xdr:row>44</xdr:row>
      <xdr:rowOff>96919</xdr:rowOff>
    </xdr:to>
    <xdr:pic>
      <xdr:nvPicPr>
        <xdr:cNvPr id="4" name="Imagen 3">
          <a:extLst>
            <a:ext uri="{FF2B5EF4-FFF2-40B4-BE49-F238E27FC236}">
              <a16:creationId xmlns:a16="http://schemas.microsoft.com/office/drawing/2014/main" id="{C374D146-A616-4A9D-8FAE-DCA6DC8E2E4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592035" y="10187668"/>
          <a:ext cx="1870075" cy="3200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176893</xdr:colOff>
      <xdr:row>41</xdr:row>
      <xdr:rowOff>0</xdr:rowOff>
    </xdr:from>
    <xdr:to>
      <xdr:col>38</xdr:col>
      <xdr:colOff>103596</xdr:colOff>
      <xdr:row>44</xdr:row>
      <xdr:rowOff>95250</xdr:rowOff>
    </xdr:to>
    <xdr:pic>
      <xdr:nvPicPr>
        <xdr:cNvPr id="5" name="Imagen 4" descr="Interfaz de usuario gráfica, Texto&#10;&#10;El contenido generado por IA puede ser incorrecto.">
          <a:extLst>
            <a:ext uri="{FF2B5EF4-FFF2-40B4-BE49-F238E27FC236}">
              <a16:creationId xmlns:a16="http://schemas.microsoft.com/office/drawing/2014/main" id="{1F1544BC-C18F-4837-A4BA-91DB800698BA}"/>
            </a:ext>
          </a:extLst>
        </xdr:cNvPr>
        <xdr:cNvPicPr>
          <a:picLocks noChangeAspect="1"/>
        </xdr:cNvPicPr>
      </xdr:nvPicPr>
      <xdr:blipFill rotWithShape="1">
        <a:blip xmlns:r="http://schemas.openxmlformats.org/officeDocument/2006/relationships" r:embed="rId4"/>
        <a:srcRect l="34528" t="63103" r="34962" b="19566"/>
        <a:stretch/>
      </xdr:blipFill>
      <xdr:spPr>
        <a:xfrm>
          <a:off x="15498536" y="10218964"/>
          <a:ext cx="2131060" cy="70757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687885</xdr:colOff>
      <xdr:row>1</xdr:row>
      <xdr:rowOff>113665</xdr:rowOff>
    </xdr:from>
    <xdr:to>
      <xdr:col>1</xdr:col>
      <xdr:colOff>3238498</xdr:colOff>
      <xdr:row>4</xdr:row>
      <xdr:rowOff>259080</xdr:rowOff>
    </xdr:to>
    <xdr:pic>
      <xdr:nvPicPr>
        <xdr:cNvPr id="2" name="Imagen 13" descr="Logotipo, nombre de la empresa&#10;&#10;Descripción generada automáticamente">
          <a:extLst>
            <a:ext uri="{FF2B5EF4-FFF2-40B4-BE49-F238E27FC236}">
              <a16:creationId xmlns:a16="http://schemas.microsoft.com/office/drawing/2014/main" id="{92282C94-CAA3-437A-A978-60CAE9A9E9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49885" y="304165"/>
          <a:ext cx="2550613" cy="1145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13</xdr:col>
      <xdr:colOff>10485</xdr:colOff>
      <xdr:row>42</xdr:row>
      <xdr:rowOff>128067</xdr:rowOff>
    </xdr:from>
    <xdr:ext cx="2303960" cy="710261"/>
    <xdr:pic>
      <xdr:nvPicPr>
        <xdr:cNvPr id="3" name="Imagen 2">
          <a:extLst>
            <a:ext uri="{FF2B5EF4-FFF2-40B4-BE49-F238E27FC236}">
              <a16:creationId xmlns:a16="http://schemas.microsoft.com/office/drawing/2014/main" id="{C7C6887E-C138-404E-A10A-65AC45F68485}"/>
            </a:ext>
          </a:extLst>
        </xdr:cNvPr>
        <xdr:cNvPicPr>
          <a:picLocks noChangeAspect="1"/>
        </xdr:cNvPicPr>
      </xdr:nvPicPr>
      <xdr:blipFill>
        <a:blip xmlns:r="http://schemas.openxmlformats.org/officeDocument/2006/relationships" r:embed="rId2"/>
        <a:stretch>
          <a:fillRect/>
        </a:stretch>
      </xdr:blipFill>
      <xdr:spPr>
        <a:xfrm>
          <a:off x="8059110" y="10319817"/>
          <a:ext cx="2303960" cy="710261"/>
        </a:xfrm>
        <a:prstGeom prst="rect">
          <a:avLst/>
        </a:prstGeom>
        <a:ln>
          <a:noFill/>
        </a:ln>
        <a:effectLst>
          <a:softEdge rad="112500"/>
        </a:effectLst>
      </xdr:spPr>
    </xdr:pic>
    <xdr:clientData/>
  </xdr:oneCellAnchor>
  <xdr:twoCellAnchor>
    <xdr:from>
      <xdr:col>1</xdr:col>
      <xdr:colOff>687885</xdr:colOff>
      <xdr:row>1</xdr:row>
      <xdr:rowOff>113665</xdr:rowOff>
    </xdr:from>
    <xdr:to>
      <xdr:col>1</xdr:col>
      <xdr:colOff>3238498</xdr:colOff>
      <xdr:row>4</xdr:row>
      <xdr:rowOff>259080</xdr:rowOff>
    </xdr:to>
    <xdr:pic>
      <xdr:nvPicPr>
        <xdr:cNvPr id="4" name="Imagen 13" descr="Logotipo, nombre de la empresa&#10;&#10;Descripción generada automáticamente">
          <a:extLst>
            <a:ext uri="{FF2B5EF4-FFF2-40B4-BE49-F238E27FC236}">
              <a16:creationId xmlns:a16="http://schemas.microsoft.com/office/drawing/2014/main" id="{1D4B8950-2CFE-4040-A3CF-B5A75E95E0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449885" y="304165"/>
          <a:ext cx="2550613" cy="1145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13</xdr:col>
      <xdr:colOff>10485</xdr:colOff>
      <xdr:row>42</xdr:row>
      <xdr:rowOff>128067</xdr:rowOff>
    </xdr:from>
    <xdr:ext cx="2303960" cy="710261"/>
    <xdr:pic>
      <xdr:nvPicPr>
        <xdr:cNvPr id="5" name="Imagen 4">
          <a:extLst>
            <a:ext uri="{FF2B5EF4-FFF2-40B4-BE49-F238E27FC236}">
              <a16:creationId xmlns:a16="http://schemas.microsoft.com/office/drawing/2014/main" id="{B8FAFB58-46BF-4C15-95AF-37EEDF4487A9}"/>
            </a:ext>
          </a:extLst>
        </xdr:cNvPr>
        <xdr:cNvPicPr>
          <a:picLocks noChangeAspect="1"/>
        </xdr:cNvPicPr>
      </xdr:nvPicPr>
      <xdr:blipFill>
        <a:blip xmlns:r="http://schemas.openxmlformats.org/officeDocument/2006/relationships" r:embed="rId2"/>
        <a:stretch>
          <a:fillRect/>
        </a:stretch>
      </xdr:blipFill>
      <xdr:spPr>
        <a:xfrm>
          <a:off x="8059110" y="10319817"/>
          <a:ext cx="2303960" cy="710261"/>
        </a:xfrm>
        <a:prstGeom prst="rect">
          <a:avLst/>
        </a:prstGeom>
        <a:ln>
          <a:noFill/>
        </a:ln>
        <a:effectLst>
          <a:softEdge rad="112500"/>
        </a:effectLst>
      </xdr:spPr>
    </xdr:pic>
    <xdr:clientData/>
  </xdr:oneCellAnchor>
  <xdr:twoCellAnchor editAs="oneCell">
    <xdr:from>
      <xdr:col>1</xdr:col>
      <xdr:colOff>717176</xdr:colOff>
      <xdr:row>43</xdr:row>
      <xdr:rowOff>179295</xdr:rowOff>
    </xdr:from>
    <xdr:to>
      <xdr:col>1</xdr:col>
      <xdr:colOff>2587251</xdr:colOff>
      <xdr:row>45</xdr:row>
      <xdr:rowOff>104124</xdr:rowOff>
    </xdr:to>
    <xdr:pic>
      <xdr:nvPicPr>
        <xdr:cNvPr id="6" name="Imagen 5">
          <a:extLst>
            <a:ext uri="{FF2B5EF4-FFF2-40B4-BE49-F238E27FC236}">
              <a16:creationId xmlns:a16="http://schemas.microsoft.com/office/drawing/2014/main" id="{E5C8D662-B241-4862-8DC3-2FCC99C259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479176" y="10571070"/>
          <a:ext cx="1870075" cy="3248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67236</xdr:colOff>
      <xdr:row>42</xdr:row>
      <xdr:rowOff>179294</xdr:rowOff>
    </xdr:from>
    <xdr:to>
      <xdr:col>37</xdr:col>
      <xdr:colOff>326913</xdr:colOff>
      <xdr:row>45</xdr:row>
      <xdr:rowOff>59316</xdr:rowOff>
    </xdr:to>
    <xdr:pic>
      <xdr:nvPicPr>
        <xdr:cNvPr id="7" name="Imagen 6" descr="Interfaz de usuario gráfica, Texto&#10;&#10;El contenido generado por IA puede ser incorrecto.">
          <a:extLst>
            <a:ext uri="{FF2B5EF4-FFF2-40B4-BE49-F238E27FC236}">
              <a16:creationId xmlns:a16="http://schemas.microsoft.com/office/drawing/2014/main" id="{1E4AFA7B-440A-469C-97AF-23E1FEB530D7}"/>
            </a:ext>
          </a:extLst>
        </xdr:cNvPr>
        <xdr:cNvPicPr>
          <a:picLocks noChangeAspect="1"/>
        </xdr:cNvPicPr>
      </xdr:nvPicPr>
      <xdr:blipFill rotWithShape="1">
        <a:blip xmlns:r="http://schemas.openxmlformats.org/officeDocument/2006/relationships" r:embed="rId4"/>
        <a:srcRect l="34528" t="63103" r="34962" b="19566"/>
        <a:stretch/>
      </xdr:blipFill>
      <xdr:spPr>
        <a:xfrm>
          <a:off x="14511618" y="10376647"/>
          <a:ext cx="1940560" cy="4851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1986613</xdr:colOff>
      <xdr:row>1</xdr:row>
      <xdr:rowOff>26205</xdr:rowOff>
    </xdr:from>
    <xdr:to>
      <xdr:col>1</xdr:col>
      <xdr:colOff>4245429</xdr:colOff>
      <xdr:row>4</xdr:row>
      <xdr:rowOff>211230</xdr:rowOff>
    </xdr:to>
    <xdr:pic>
      <xdr:nvPicPr>
        <xdr:cNvPr id="2" name="Imagen 13" descr="Logotipo, nombre de la empresa&#10;&#10;Descripción generada automáticamente">
          <a:extLst>
            <a:ext uri="{FF2B5EF4-FFF2-40B4-BE49-F238E27FC236}">
              <a16:creationId xmlns:a16="http://schemas.microsoft.com/office/drawing/2014/main" id="{25DD5667-9FF8-4754-BC44-8EA285742B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386663" y="216705"/>
          <a:ext cx="2258816" cy="89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0</xdr:colOff>
      <xdr:row>52</xdr:row>
      <xdr:rowOff>0</xdr:rowOff>
    </xdr:from>
    <xdr:to>
      <xdr:col>16</xdr:col>
      <xdr:colOff>304800</xdr:colOff>
      <xdr:row>53</xdr:row>
      <xdr:rowOff>104775</xdr:rowOff>
    </xdr:to>
    <xdr:sp macro="" textlink="">
      <xdr:nvSpPr>
        <xdr:cNvPr id="3" name="AutoShape 1">
          <a:extLst>
            <a:ext uri="{FF2B5EF4-FFF2-40B4-BE49-F238E27FC236}">
              <a16:creationId xmlns:a16="http://schemas.microsoft.com/office/drawing/2014/main" id="{2BC553DE-3F1C-4BDB-98F2-AFC92EBC0FCD}"/>
            </a:ext>
          </a:extLst>
        </xdr:cNvPr>
        <xdr:cNvSpPr>
          <a:spLocks noChangeAspect="1" noChangeArrowheads="1"/>
        </xdr:cNvSpPr>
      </xdr:nvSpPr>
      <xdr:spPr bwMode="auto">
        <a:xfrm>
          <a:off x="12934950" y="1544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333375</xdr:colOff>
      <xdr:row>49</xdr:row>
      <xdr:rowOff>2</xdr:rowOff>
    </xdr:from>
    <xdr:to>
      <xdr:col>20</xdr:col>
      <xdr:colOff>265204</xdr:colOff>
      <xdr:row>54</xdr:row>
      <xdr:rowOff>150897</xdr:rowOff>
    </xdr:to>
    <xdr:pic>
      <xdr:nvPicPr>
        <xdr:cNvPr id="4" name="Imagen 3">
          <a:extLst>
            <a:ext uri="{FF2B5EF4-FFF2-40B4-BE49-F238E27FC236}">
              <a16:creationId xmlns:a16="http://schemas.microsoft.com/office/drawing/2014/main" id="{D97120EB-1265-46FD-AA9A-5FC950C1B84B}"/>
            </a:ext>
          </a:extLst>
        </xdr:cNvPr>
        <xdr:cNvPicPr>
          <a:picLocks noChangeAspect="1"/>
        </xdr:cNvPicPr>
      </xdr:nvPicPr>
      <xdr:blipFill>
        <a:blip xmlns:r="http://schemas.openxmlformats.org/officeDocument/2006/relationships" r:embed="rId2">
          <a:grayscl/>
          <a:extLst>
            <a:ext uri="{BEBA8EAE-BF5A-486C-A8C5-ECC9F3942E4B}">
              <a14:imgProps xmlns:a14="http://schemas.microsoft.com/office/drawing/2010/main">
                <a14:imgLayer r:embed="rId3">
                  <a14:imgEffect>
                    <a14:sharpenSoften amount="-25000"/>
                  </a14:imgEffect>
                  <a14:imgEffect>
                    <a14:brightnessContrast contrast="-40000"/>
                  </a14:imgEffect>
                </a14:imgLayer>
              </a14:imgProps>
            </a:ext>
          </a:extLst>
        </a:blip>
        <a:stretch>
          <a:fillRect/>
        </a:stretch>
      </xdr:blipFill>
      <xdr:spPr>
        <a:xfrm>
          <a:off x="11925300" y="14773277"/>
          <a:ext cx="3065554" cy="1227220"/>
        </a:xfrm>
        <a:prstGeom prst="rect">
          <a:avLst/>
        </a:prstGeom>
      </xdr:spPr>
    </xdr:pic>
    <xdr:clientData/>
  </xdr:twoCellAnchor>
  <xdr:twoCellAnchor editAs="oneCell">
    <xdr:from>
      <xdr:col>1</xdr:col>
      <xdr:colOff>1627910</xdr:colOff>
      <xdr:row>52</xdr:row>
      <xdr:rowOff>1</xdr:rowOff>
    </xdr:from>
    <xdr:to>
      <xdr:col>1</xdr:col>
      <xdr:colOff>4484643</xdr:colOff>
      <xdr:row>54</xdr:row>
      <xdr:rowOff>85786</xdr:rowOff>
    </xdr:to>
    <xdr:pic>
      <xdr:nvPicPr>
        <xdr:cNvPr id="5" name="Imagen 4">
          <a:extLst>
            <a:ext uri="{FF2B5EF4-FFF2-40B4-BE49-F238E27FC236}">
              <a16:creationId xmlns:a16="http://schemas.microsoft.com/office/drawing/2014/main" id="{76A15BD9-048B-4CEC-B547-44F97731071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2026228" y="15447819"/>
          <a:ext cx="2856733" cy="5014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30</xdr:col>
      <xdr:colOff>381000</xdr:colOff>
      <xdr:row>51</xdr:row>
      <xdr:rowOff>155861</xdr:rowOff>
    </xdr:from>
    <xdr:to>
      <xdr:col>35</xdr:col>
      <xdr:colOff>381000</xdr:colOff>
      <xdr:row>54</xdr:row>
      <xdr:rowOff>95247</xdr:rowOff>
    </xdr:to>
    <xdr:pic>
      <xdr:nvPicPr>
        <xdr:cNvPr id="6" name="Imagen 5" descr="Interfaz de usuario gráfica, Texto&#10;&#10;El contenido generado por IA puede ser incorrecto.">
          <a:extLst>
            <a:ext uri="{FF2B5EF4-FFF2-40B4-BE49-F238E27FC236}">
              <a16:creationId xmlns:a16="http://schemas.microsoft.com/office/drawing/2014/main" id="{DA18D2A0-F2FE-46B8-8627-832CDA2BFBEE}"/>
            </a:ext>
          </a:extLst>
        </xdr:cNvPr>
        <xdr:cNvPicPr>
          <a:picLocks noChangeAspect="1"/>
        </xdr:cNvPicPr>
      </xdr:nvPicPr>
      <xdr:blipFill rotWithShape="1">
        <a:blip xmlns:r="http://schemas.openxmlformats.org/officeDocument/2006/relationships" r:embed="rId5"/>
        <a:srcRect l="34528" t="63103" r="34962" b="19566"/>
        <a:stretch/>
      </xdr:blipFill>
      <xdr:spPr>
        <a:xfrm>
          <a:off x="19967864" y="15395861"/>
          <a:ext cx="2251363" cy="56284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E7F27-40D3-4674-98D6-DD8CCCA072FD}">
  <sheetPr>
    <pageSetUpPr fitToPage="1"/>
  </sheetPr>
  <dimension ref="A2:AX64"/>
  <sheetViews>
    <sheetView showGridLines="0" topLeftCell="A5" zoomScale="80" zoomScaleNormal="80" workbookViewId="0">
      <selection activeCell="AF61" sqref="AF61"/>
    </sheetView>
  </sheetViews>
  <sheetFormatPr baseColWidth="10" defaultColWidth="5.453125" defaultRowHeight="15.5"/>
  <cols>
    <col min="1" max="1" width="5.453125" style="13"/>
    <col min="2" max="2" width="40.1796875" style="13" customWidth="1"/>
    <col min="3" max="3" width="5.54296875" style="13" customWidth="1"/>
    <col min="4" max="4" width="4.7265625" style="13" customWidth="1"/>
    <col min="5" max="13" width="4.81640625" style="13" customWidth="1"/>
    <col min="14" max="14" width="5.453125" style="13" customWidth="1"/>
    <col min="15" max="22" width="4.81640625" style="13" customWidth="1"/>
    <col min="23" max="23" width="4.54296875" style="13" customWidth="1"/>
    <col min="24" max="24" width="4.7265625" style="13" customWidth="1"/>
    <col min="25" max="29" width="4.81640625" style="13" customWidth="1"/>
    <col min="30" max="30" width="5.26953125" style="13" customWidth="1"/>
    <col min="31" max="33" width="4.81640625" style="13" customWidth="1"/>
    <col min="34" max="35" width="6.453125" style="13" bestFit="1" customWidth="1"/>
    <col min="36" max="36" width="5.7265625" style="13" customWidth="1"/>
    <col min="37" max="37" width="3.81640625" style="13" customWidth="1"/>
    <col min="38" max="39" width="5.7265625" style="13" customWidth="1"/>
    <col min="40" max="40" width="6.453125" style="13" customWidth="1"/>
    <col min="41" max="41" width="31.54296875" style="13" customWidth="1"/>
    <col min="42" max="43" width="5.81640625" style="13" customWidth="1"/>
    <col min="44" max="44" width="14.26953125" style="13" customWidth="1"/>
    <col min="45" max="45" width="21.26953125" style="13" customWidth="1"/>
    <col min="46" max="46" width="30.81640625" style="13" customWidth="1"/>
    <col min="47" max="47" width="38.54296875" style="13" customWidth="1"/>
    <col min="48" max="48" width="7.54296875" style="13" customWidth="1"/>
    <col min="49" max="49" width="4.81640625" style="13" customWidth="1"/>
    <col min="50" max="50" width="20.453125" style="13" customWidth="1"/>
    <col min="51" max="51" width="6.81640625" style="13" customWidth="1"/>
    <col min="52" max="16384" width="5.453125" style="13"/>
  </cols>
  <sheetData>
    <row r="2" spans="2:41">
      <c r="B2" s="437"/>
      <c r="C2" s="438"/>
      <c r="D2" s="443" t="s">
        <v>0</v>
      </c>
      <c r="E2" s="444"/>
      <c r="F2" s="444"/>
      <c r="G2" s="444"/>
      <c r="H2" s="444"/>
      <c r="I2" s="444"/>
      <c r="J2" s="444"/>
      <c r="K2" s="444"/>
      <c r="L2" s="444"/>
      <c r="M2" s="444"/>
      <c r="N2" s="444"/>
      <c r="O2" s="444"/>
      <c r="P2" s="444"/>
      <c r="Q2" s="444"/>
      <c r="R2" s="444"/>
      <c r="S2" s="444"/>
      <c r="T2" s="444"/>
      <c r="U2" s="444"/>
      <c r="V2" s="444"/>
      <c r="W2" s="444"/>
      <c r="X2" s="444"/>
      <c r="Y2" s="444"/>
      <c r="Z2" s="444"/>
      <c r="AA2" s="444"/>
      <c r="AB2" s="444"/>
      <c r="AC2" s="444"/>
      <c r="AD2" s="444"/>
      <c r="AE2" s="444"/>
      <c r="AF2" s="444"/>
      <c r="AG2" s="444"/>
      <c r="AH2" s="444"/>
      <c r="AI2" s="444"/>
      <c r="AJ2" s="444"/>
      <c r="AK2" s="444"/>
      <c r="AL2" s="444"/>
      <c r="AM2" s="444"/>
      <c r="AN2" s="445"/>
      <c r="AO2" s="7" t="s">
        <v>1</v>
      </c>
    </row>
    <row r="3" spans="2:41" ht="15" customHeight="1">
      <c r="B3" s="439"/>
      <c r="C3" s="440"/>
      <c r="D3" s="446"/>
      <c r="E3" s="447"/>
      <c r="F3" s="447"/>
      <c r="G3" s="447"/>
      <c r="H3" s="447"/>
      <c r="I3" s="447"/>
      <c r="J3" s="447"/>
      <c r="K3" s="447"/>
      <c r="L3" s="447"/>
      <c r="M3" s="447"/>
      <c r="N3" s="447"/>
      <c r="O3" s="447"/>
      <c r="P3" s="447"/>
      <c r="Q3" s="447"/>
      <c r="R3" s="447"/>
      <c r="S3" s="447"/>
      <c r="T3" s="447"/>
      <c r="U3" s="447"/>
      <c r="V3" s="447"/>
      <c r="W3" s="447"/>
      <c r="X3" s="447"/>
      <c r="Y3" s="447"/>
      <c r="Z3" s="447"/>
      <c r="AA3" s="447"/>
      <c r="AB3" s="447"/>
      <c r="AC3" s="447"/>
      <c r="AD3" s="447"/>
      <c r="AE3" s="447"/>
      <c r="AF3" s="447"/>
      <c r="AG3" s="447"/>
      <c r="AH3" s="447"/>
      <c r="AI3" s="447"/>
      <c r="AJ3" s="447"/>
      <c r="AK3" s="447"/>
      <c r="AL3" s="447"/>
      <c r="AM3" s="447"/>
      <c r="AN3" s="448"/>
      <c r="AO3" s="6" t="s">
        <v>50</v>
      </c>
    </row>
    <row r="4" spans="2:41" ht="16.5" customHeight="1">
      <c r="B4" s="439"/>
      <c r="C4" s="440"/>
      <c r="D4" s="446"/>
      <c r="E4" s="447"/>
      <c r="F4" s="447"/>
      <c r="G4" s="447"/>
      <c r="H4" s="447"/>
      <c r="I4" s="447"/>
      <c r="J4" s="447"/>
      <c r="K4" s="447"/>
      <c r="L4" s="447"/>
      <c r="M4" s="447"/>
      <c r="N4" s="447"/>
      <c r="O4" s="447"/>
      <c r="P4" s="447"/>
      <c r="Q4" s="447"/>
      <c r="R4" s="447"/>
      <c r="S4" s="447"/>
      <c r="T4" s="447"/>
      <c r="U4" s="447"/>
      <c r="V4" s="447"/>
      <c r="W4" s="447"/>
      <c r="X4" s="447"/>
      <c r="Y4" s="447"/>
      <c r="Z4" s="447"/>
      <c r="AA4" s="447"/>
      <c r="AB4" s="447"/>
      <c r="AC4" s="447"/>
      <c r="AD4" s="447"/>
      <c r="AE4" s="447"/>
      <c r="AF4" s="447"/>
      <c r="AG4" s="447"/>
      <c r="AH4" s="447"/>
      <c r="AI4" s="447"/>
      <c r="AJ4" s="447"/>
      <c r="AK4" s="447"/>
      <c r="AL4" s="447"/>
      <c r="AM4" s="447"/>
      <c r="AN4" s="448"/>
      <c r="AO4" s="5" t="s">
        <v>49</v>
      </c>
    </row>
    <row r="5" spans="2:41" ht="18.75" customHeight="1">
      <c r="B5" s="441"/>
      <c r="C5" s="442"/>
      <c r="D5" s="449"/>
      <c r="E5" s="450"/>
      <c r="F5" s="450"/>
      <c r="G5" s="450"/>
      <c r="H5" s="450"/>
      <c r="I5" s="450"/>
      <c r="J5" s="450"/>
      <c r="K5" s="450"/>
      <c r="L5" s="450"/>
      <c r="M5" s="450"/>
      <c r="N5" s="450"/>
      <c r="O5" s="450"/>
      <c r="P5" s="450"/>
      <c r="Q5" s="450"/>
      <c r="R5" s="450"/>
      <c r="S5" s="450"/>
      <c r="T5" s="450"/>
      <c r="U5" s="450"/>
      <c r="V5" s="450"/>
      <c r="W5" s="450"/>
      <c r="X5" s="450"/>
      <c r="Y5" s="450"/>
      <c r="Z5" s="450"/>
      <c r="AA5" s="450"/>
      <c r="AB5" s="450"/>
      <c r="AC5" s="450"/>
      <c r="AD5" s="450"/>
      <c r="AE5" s="450"/>
      <c r="AF5" s="450"/>
      <c r="AG5" s="450"/>
      <c r="AH5" s="450"/>
      <c r="AI5" s="450"/>
      <c r="AJ5" s="450"/>
      <c r="AK5" s="450"/>
      <c r="AL5" s="450"/>
      <c r="AM5" s="450"/>
      <c r="AN5" s="451"/>
      <c r="AO5" s="5" t="s">
        <v>2</v>
      </c>
    </row>
    <row r="6" spans="2:41" ht="8.25" customHeight="1"/>
    <row r="7" spans="2:41">
      <c r="B7" s="15" t="s">
        <v>3</v>
      </c>
      <c r="C7" s="15"/>
      <c r="D7" s="16" t="s">
        <v>4</v>
      </c>
      <c r="E7" s="15"/>
      <c r="F7" s="17"/>
      <c r="G7" s="17"/>
      <c r="H7" s="17"/>
      <c r="I7" s="17"/>
    </row>
    <row r="8" spans="2:41">
      <c r="B8" s="15" t="s">
        <v>5</v>
      </c>
      <c r="C8" s="15"/>
      <c r="D8" s="17" t="s">
        <v>48</v>
      </c>
      <c r="E8" s="15"/>
      <c r="F8" s="17"/>
      <c r="G8" s="17"/>
      <c r="H8" s="17"/>
      <c r="I8" s="17"/>
    </row>
    <row r="9" spans="2:41">
      <c r="B9" s="15" t="s">
        <v>6</v>
      </c>
      <c r="C9" s="15"/>
      <c r="D9" s="17" t="s">
        <v>59</v>
      </c>
      <c r="E9" s="15"/>
      <c r="F9" s="17"/>
      <c r="G9" s="17"/>
      <c r="H9" s="17"/>
      <c r="I9" s="17"/>
    </row>
    <row r="10" spans="2:41" ht="8.25" customHeight="1"/>
    <row r="11" spans="2:41">
      <c r="B11" s="452" t="s">
        <v>58</v>
      </c>
      <c r="C11" s="452"/>
      <c r="D11" s="452"/>
      <c r="E11" s="452"/>
      <c r="F11" s="452"/>
      <c r="G11" s="452"/>
      <c r="H11" s="452"/>
      <c r="I11" s="452"/>
      <c r="J11" s="452"/>
      <c r="K11" s="452"/>
      <c r="L11" s="452"/>
      <c r="M11" s="452"/>
      <c r="N11" s="452"/>
      <c r="O11" s="452"/>
      <c r="P11" s="452"/>
      <c r="Q11" s="452"/>
      <c r="R11" s="452"/>
      <c r="S11" s="452"/>
      <c r="T11" s="452"/>
      <c r="U11" s="452"/>
      <c r="V11" s="452"/>
      <c r="W11" s="452"/>
      <c r="X11" s="452"/>
      <c r="Y11" s="452"/>
      <c r="Z11" s="452"/>
      <c r="AA11" s="452"/>
      <c r="AB11" s="452"/>
      <c r="AC11" s="452"/>
      <c r="AD11" s="452"/>
      <c r="AE11" s="452"/>
      <c r="AF11" s="452"/>
      <c r="AG11" s="452"/>
      <c r="AH11" s="452"/>
      <c r="AI11" s="452"/>
      <c r="AJ11" s="452"/>
      <c r="AK11" s="452"/>
      <c r="AL11" s="452"/>
      <c r="AM11" s="452"/>
      <c r="AN11" s="452"/>
      <c r="AO11" s="452"/>
    </row>
    <row r="12" spans="2:41" ht="15" customHeight="1">
      <c r="B12" s="453" t="s">
        <v>7</v>
      </c>
      <c r="C12" s="18" t="s">
        <v>12</v>
      </c>
      <c r="D12" s="19" t="s">
        <v>13</v>
      </c>
      <c r="E12" s="454" t="s">
        <v>14</v>
      </c>
      <c r="F12" s="75" t="s">
        <v>8</v>
      </c>
      <c r="G12" s="18" t="s">
        <v>9</v>
      </c>
      <c r="H12" s="18" t="s">
        <v>9</v>
      </c>
      <c r="I12" s="18" t="s">
        <v>10</v>
      </c>
      <c r="J12" s="19" t="s">
        <v>11</v>
      </c>
      <c r="K12" s="18" t="s">
        <v>12</v>
      </c>
      <c r="L12" s="19" t="s">
        <v>13</v>
      </c>
      <c r="M12" s="454" t="s">
        <v>14</v>
      </c>
      <c r="N12" s="18" t="s">
        <v>8</v>
      </c>
      <c r="O12" s="18" t="s">
        <v>9</v>
      </c>
      <c r="P12" s="18" t="s">
        <v>9</v>
      </c>
      <c r="Q12" s="18" t="s">
        <v>10</v>
      </c>
      <c r="R12" s="18" t="s">
        <v>11</v>
      </c>
      <c r="S12" s="18" t="s">
        <v>12</v>
      </c>
      <c r="T12" s="19" t="s">
        <v>13</v>
      </c>
      <c r="U12" s="454" t="s">
        <v>14</v>
      </c>
      <c r="V12" s="19" t="s">
        <v>8</v>
      </c>
      <c r="W12" s="18" t="s">
        <v>9</v>
      </c>
      <c r="X12" s="18" t="s">
        <v>9</v>
      </c>
      <c r="Y12" s="18" t="s">
        <v>10</v>
      </c>
      <c r="Z12" s="18" t="s">
        <v>11</v>
      </c>
      <c r="AA12" s="18" t="s">
        <v>12</v>
      </c>
      <c r="AB12" s="19" t="s">
        <v>13</v>
      </c>
      <c r="AC12" s="454" t="s">
        <v>14</v>
      </c>
      <c r="AD12" s="75" t="s">
        <v>8</v>
      </c>
      <c r="AE12" s="18" t="s">
        <v>9</v>
      </c>
      <c r="AF12" s="18" t="s">
        <v>9</v>
      </c>
      <c r="AG12" s="18" t="s">
        <v>10</v>
      </c>
      <c r="AH12" s="18" t="s">
        <v>11</v>
      </c>
      <c r="AI12" s="18" t="s">
        <v>12</v>
      </c>
      <c r="AJ12" s="18" t="s">
        <v>13</v>
      </c>
      <c r="AK12" s="454" t="s">
        <v>14</v>
      </c>
      <c r="AL12" s="18" t="s">
        <v>8</v>
      </c>
      <c r="AM12" s="454" t="s">
        <v>14</v>
      </c>
      <c r="AN12" s="456" t="s">
        <v>15</v>
      </c>
      <c r="AO12" s="458" t="s">
        <v>16</v>
      </c>
    </row>
    <row r="13" spans="2:41" ht="16.5" customHeight="1">
      <c r="B13" s="453"/>
      <c r="C13" s="18">
        <v>1</v>
      </c>
      <c r="D13" s="20">
        <v>2</v>
      </c>
      <c r="E13" s="455"/>
      <c r="F13" s="18">
        <v>3</v>
      </c>
      <c r="G13" s="18">
        <v>4</v>
      </c>
      <c r="H13" s="18">
        <v>5</v>
      </c>
      <c r="I13" s="18">
        <v>6</v>
      </c>
      <c r="J13" s="20">
        <v>7</v>
      </c>
      <c r="K13" s="18">
        <v>8</v>
      </c>
      <c r="L13" s="20">
        <v>9</v>
      </c>
      <c r="M13" s="455"/>
      <c r="N13" s="18">
        <v>10</v>
      </c>
      <c r="O13" s="18">
        <v>11</v>
      </c>
      <c r="P13" s="18">
        <v>12</v>
      </c>
      <c r="Q13" s="18">
        <v>13</v>
      </c>
      <c r="R13" s="18">
        <v>14</v>
      </c>
      <c r="S13" s="18">
        <v>15</v>
      </c>
      <c r="T13" s="20">
        <v>16</v>
      </c>
      <c r="U13" s="455"/>
      <c r="V13" s="20">
        <v>17</v>
      </c>
      <c r="W13" s="18">
        <v>18</v>
      </c>
      <c r="X13" s="18">
        <v>19</v>
      </c>
      <c r="Y13" s="18">
        <v>20</v>
      </c>
      <c r="Z13" s="18">
        <v>21</v>
      </c>
      <c r="AA13" s="18">
        <v>22</v>
      </c>
      <c r="AB13" s="20">
        <v>23</v>
      </c>
      <c r="AC13" s="455"/>
      <c r="AD13" s="18">
        <v>24</v>
      </c>
      <c r="AE13" s="18">
        <v>25</v>
      </c>
      <c r="AF13" s="18">
        <v>26</v>
      </c>
      <c r="AG13" s="18">
        <v>27</v>
      </c>
      <c r="AH13" s="18">
        <v>28</v>
      </c>
      <c r="AI13" s="18">
        <v>29</v>
      </c>
      <c r="AJ13" s="18">
        <v>30</v>
      </c>
      <c r="AK13" s="455"/>
      <c r="AL13" s="18">
        <v>31</v>
      </c>
      <c r="AM13" s="455"/>
      <c r="AN13" s="457"/>
      <c r="AO13" s="459"/>
    </row>
    <row r="14" spans="2:41">
      <c r="B14" s="21" t="s">
        <v>47</v>
      </c>
      <c r="C14" s="22" t="s">
        <v>8</v>
      </c>
      <c r="D14" s="22" t="s">
        <v>13</v>
      </c>
      <c r="E14" s="22"/>
      <c r="F14" s="22" t="s">
        <v>40</v>
      </c>
      <c r="G14" s="22" t="s">
        <v>8</v>
      </c>
      <c r="H14" s="22" t="s">
        <v>8</v>
      </c>
      <c r="I14" s="22" t="s">
        <v>13</v>
      </c>
      <c r="J14" s="22" t="s">
        <v>40</v>
      </c>
      <c r="K14" s="22" t="s">
        <v>8</v>
      </c>
      <c r="L14" s="22" t="s">
        <v>8</v>
      </c>
      <c r="M14" s="22"/>
      <c r="N14" s="22" t="s">
        <v>13</v>
      </c>
      <c r="O14" s="22" t="s">
        <v>40</v>
      </c>
      <c r="P14" s="22" t="s">
        <v>8</v>
      </c>
      <c r="Q14" s="22" t="s">
        <v>8</v>
      </c>
      <c r="R14" s="376" t="s">
        <v>8</v>
      </c>
      <c r="S14" s="22" t="s">
        <v>40</v>
      </c>
      <c r="T14" s="22" t="s">
        <v>8</v>
      </c>
      <c r="U14" s="18"/>
      <c r="V14" s="22" t="s">
        <v>8</v>
      </c>
      <c r="W14" s="22" t="s">
        <v>8</v>
      </c>
      <c r="X14" s="22" t="s">
        <v>40</v>
      </c>
      <c r="Y14" s="22" t="s">
        <v>8</v>
      </c>
      <c r="Z14" s="22" t="s">
        <v>8</v>
      </c>
      <c r="AA14" s="22" t="s">
        <v>13</v>
      </c>
      <c r="AB14" s="22" t="s">
        <v>40</v>
      </c>
      <c r="AC14" s="18"/>
      <c r="AD14" s="22" t="s">
        <v>8</v>
      </c>
      <c r="AE14" s="22" t="s">
        <v>8</v>
      </c>
      <c r="AF14" s="22" t="s">
        <v>32</v>
      </c>
      <c r="AG14" s="22" t="s">
        <v>40</v>
      </c>
      <c r="AH14" s="22" t="s">
        <v>8</v>
      </c>
      <c r="AI14" s="22" t="s">
        <v>8</v>
      </c>
      <c r="AJ14" s="22" t="s">
        <v>13</v>
      </c>
      <c r="AK14" s="22"/>
      <c r="AL14" s="22" t="s">
        <v>40</v>
      </c>
      <c r="AM14" s="22"/>
      <c r="AN14" s="23" t="s">
        <v>15</v>
      </c>
      <c r="AO14" s="24"/>
    </row>
    <row r="15" spans="2:41" ht="14.25" customHeight="1">
      <c r="B15" s="21" t="s">
        <v>46</v>
      </c>
      <c r="C15" s="22" t="s">
        <v>8</v>
      </c>
      <c r="D15" s="22" t="s">
        <v>8</v>
      </c>
      <c r="E15" s="22"/>
      <c r="F15" s="22" t="s">
        <v>13</v>
      </c>
      <c r="G15" s="22" t="s">
        <v>40</v>
      </c>
      <c r="H15" s="22" t="s">
        <v>8</v>
      </c>
      <c r="I15" s="22" t="s">
        <v>8</v>
      </c>
      <c r="J15" s="22" t="s">
        <v>13</v>
      </c>
      <c r="K15" s="22" t="s">
        <v>40</v>
      </c>
      <c r="L15" s="22" t="s">
        <v>8</v>
      </c>
      <c r="M15" s="22"/>
      <c r="N15" s="22" t="s">
        <v>8</v>
      </c>
      <c r="O15" s="22" t="s">
        <v>13</v>
      </c>
      <c r="P15" s="22" t="s">
        <v>40</v>
      </c>
      <c r="Q15" s="22" t="s">
        <v>8</v>
      </c>
      <c r="R15" s="22" t="s">
        <v>8</v>
      </c>
      <c r="S15" s="22" t="s">
        <v>13</v>
      </c>
      <c r="T15" s="22" t="s">
        <v>40</v>
      </c>
      <c r="U15" s="22"/>
      <c r="V15" s="22" t="s">
        <v>8</v>
      </c>
      <c r="W15" s="22" t="s">
        <v>8</v>
      </c>
      <c r="X15" s="376" t="s">
        <v>8</v>
      </c>
      <c r="Y15" s="22" t="s">
        <v>40</v>
      </c>
      <c r="Z15" s="22" t="s">
        <v>8</v>
      </c>
      <c r="AA15" s="22" t="s">
        <v>8</v>
      </c>
      <c r="AB15" s="22" t="s">
        <v>13</v>
      </c>
      <c r="AC15" s="22"/>
      <c r="AD15" s="22" t="s">
        <v>40</v>
      </c>
      <c r="AE15" s="22" t="s">
        <v>8</v>
      </c>
      <c r="AF15" s="22" t="s">
        <v>8</v>
      </c>
      <c r="AG15" s="22" t="s">
        <v>32</v>
      </c>
      <c r="AH15" s="22" t="s">
        <v>40</v>
      </c>
      <c r="AI15" s="22" t="s">
        <v>8</v>
      </c>
      <c r="AJ15" s="22" t="s">
        <v>8</v>
      </c>
      <c r="AK15" s="22"/>
      <c r="AL15" s="22" t="s">
        <v>13</v>
      </c>
      <c r="AM15" s="22"/>
      <c r="AN15" s="23" t="s">
        <v>15</v>
      </c>
      <c r="AO15" s="24"/>
    </row>
    <row r="16" spans="2:41" ht="14.25" customHeight="1">
      <c r="B16" s="25" t="s">
        <v>45</v>
      </c>
      <c r="C16" s="22" t="s">
        <v>40</v>
      </c>
      <c r="D16" s="22" t="s">
        <v>8</v>
      </c>
      <c r="E16" s="22"/>
      <c r="F16" s="22" t="s">
        <v>8</v>
      </c>
      <c r="G16" s="22" t="s">
        <v>13</v>
      </c>
      <c r="H16" s="22" t="s">
        <v>40</v>
      </c>
      <c r="I16" s="22" t="s">
        <v>8</v>
      </c>
      <c r="J16" s="22" t="s">
        <v>8</v>
      </c>
      <c r="K16" s="22" t="s">
        <v>13</v>
      </c>
      <c r="L16" s="22" t="s">
        <v>40</v>
      </c>
      <c r="M16" s="22"/>
      <c r="N16" s="22" t="s">
        <v>8</v>
      </c>
      <c r="O16" s="22" t="s">
        <v>8</v>
      </c>
      <c r="P16" s="22" t="s">
        <v>13</v>
      </c>
      <c r="Q16" s="22" t="s">
        <v>40</v>
      </c>
      <c r="R16" s="22" t="s">
        <v>8</v>
      </c>
      <c r="S16" s="22" t="s">
        <v>8</v>
      </c>
      <c r="T16" s="22" t="s">
        <v>13</v>
      </c>
      <c r="U16" s="22"/>
      <c r="V16" s="22" t="s">
        <v>40</v>
      </c>
      <c r="W16" s="22" t="s">
        <v>8</v>
      </c>
      <c r="X16" s="22" t="s">
        <v>8</v>
      </c>
      <c r="Y16" s="22" t="s">
        <v>13</v>
      </c>
      <c r="Z16" s="22" t="s">
        <v>40</v>
      </c>
      <c r="AA16" s="22" t="s">
        <v>8</v>
      </c>
      <c r="AB16" s="22" t="s">
        <v>8</v>
      </c>
      <c r="AC16" s="22"/>
      <c r="AD16" s="376" t="s">
        <v>8</v>
      </c>
      <c r="AE16" s="22" t="s">
        <v>40</v>
      </c>
      <c r="AF16" s="22" t="s">
        <v>8</v>
      </c>
      <c r="AG16" s="22" t="s">
        <v>8</v>
      </c>
      <c r="AH16" s="22" t="s">
        <v>32</v>
      </c>
      <c r="AI16" s="22" t="s">
        <v>40</v>
      </c>
      <c r="AJ16" s="22" t="s">
        <v>8</v>
      </c>
      <c r="AK16" s="22"/>
      <c r="AL16" s="22" t="s">
        <v>8</v>
      </c>
      <c r="AM16" s="22"/>
      <c r="AN16" s="23" t="s">
        <v>15</v>
      </c>
      <c r="AO16" s="24"/>
    </row>
    <row r="17" spans="2:50" ht="14.25" customHeight="1">
      <c r="B17" s="21" t="s">
        <v>44</v>
      </c>
      <c r="C17" s="22" t="s">
        <v>13</v>
      </c>
      <c r="D17" s="22" t="s">
        <v>40</v>
      </c>
      <c r="E17" s="22"/>
      <c r="F17" s="22" t="s">
        <v>8</v>
      </c>
      <c r="G17" s="22" t="s">
        <v>8</v>
      </c>
      <c r="H17" s="22" t="s">
        <v>13</v>
      </c>
      <c r="I17" s="22" t="s">
        <v>40</v>
      </c>
      <c r="J17" s="22" t="s">
        <v>8</v>
      </c>
      <c r="K17" s="22" t="s">
        <v>8</v>
      </c>
      <c r="L17" s="22" t="s">
        <v>13</v>
      </c>
      <c r="M17" s="22"/>
      <c r="N17" s="22" t="s">
        <v>40</v>
      </c>
      <c r="O17" s="22" t="s">
        <v>8</v>
      </c>
      <c r="P17" s="22" t="s">
        <v>8</v>
      </c>
      <c r="Q17" s="22" t="s">
        <v>8</v>
      </c>
      <c r="R17" s="22" t="s">
        <v>40</v>
      </c>
      <c r="S17" s="22" t="s">
        <v>8</v>
      </c>
      <c r="T17" s="22" t="s">
        <v>8</v>
      </c>
      <c r="U17" s="22"/>
      <c r="V17" s="22" t="s">
        <v>13</v>
      </c>
      <c r="W17" s="22" t="s">
        <v>40</v>
      </c>
      <c r="X17" s="22" t="s">
        <v>8</v>
      </c>
      <c r="Y17" s="22" t="s">
        <v>8</v>
      </c>
      <c r="Z17" s="22" t="s">
        <v>8</v>
      </c>
      <c r="AA17" s="22" t="s">
        <v>40</v>
      </c>
      <c r="AB17" s="22" t="s">
        <v>8</v>
      </c>
      <c r="AC17" s="22"/>
      <c r="AD17" s="22" t="s">
        <v>8</v>
      </c>
      <c r="AE17" s="22" t="s">
        <v>32</v>
      </c>
      <c r="AF17" s="22" t="s">
        <v>40</v>
      </c>
      <c r="AG17" s="22" t="s">
        <v>8</v>
      </c>
      <c r="AH17" s="22" t="s">
        <v>8</v>
      </c>
      <c r="AI17" s="22" t="s">
        <v>13</v>
      </c>
      <c r="AJ17" s="22" t="s">
        <v>40</v>
      </c>
      <c r="AK17" s="22"/>
      <c r="AL17" s="22" t="s">
        <v>8</v>
      </c>
      <c r="AM17" s="22"/>
      <c r="AN17" s="23" t="s">
        <v>15</v>
      </c>
      <c r="AO17" s="24"/>
    </row>
    <row r="18" spans="2:50" ht="14.25" customHeight="1">
      <c r="B18" s="21" t="s">
        <v>43</v>
      </c>
      <c r="C18" s="22" t="s">
        <v>8</v>
      </c>
      <c r="D18" s="22" t="s">
        <v>8</v>
      </c>
      <c r="E18" s="22"/>
      <c r="F18" s="22" t="s">
        <v>17</v>
      </c>
      <c r="G18" s="22" t="s">
        <v>17</v>
      </c>
      <c r="H18" s="22" t="s">
        <v>17</v>
      </c>
      <c r="I18" s="22" t="s">
        <v>17</v>
      </c>
      <c r="J18" s="22" t="s">
        <v>8</v>
      </c>
      <c r="K18" s="22" t="s">
        <v>37</v>
      </c>
      <c r="L18" s="22" t="s">
        <v>8</v>
      </c>
      <c r="M18" s="22"/>
      <c r="N18" s="22" t="s">
        <v>17</v>
      </c>
      <c r="O18" s="22" t="s">
        <v>17</v>
      </c>
      <c r="P18" s="22" t="s">
        <v>17</v>
      </c>
      <c r="Q18" s="22" t="s">
        <v>17</v>
      </c>
      <c r="R18" s="22" t="s">
        <v>17</v>
      </c>
      <c r="S18" s="22" t="s">
        <v>8</v>
      </c>
      <c r="T18" s="22" t="s">
        <v>8</v>
      </c>
      <c r="U18" s="22"/>
      <c r="V18" s="22" t="s">
        <v>8</v>
      </c>
      <c r="W18" s="22" t="s">
        <v>17</v>
      </c>
      <c r="X18" s="22" t="s">
        <v>17</v>
      </c>
      <c r="Y18" s="22" t="s">
        <v>17</v>
      </c>
      <c r="Z18" s="22" t="s">
        <v>17</v>
      </c>
      <c r="AA18" s="22" t="s">
        <v>33</v>
      </c>
      <c r="AB18" s="22" t="s">
        <v>8</v>
      </c>
      <c r="AC18" s="22"/>
      <c r="AD18" s="22" t="s">
        <v>17</v>
      </c>
      <c r="AE18" s="22" t="s">
        <v>17</v>
      </c>
      <c r="AF18" s="22" t="s">
        <v>17</v>
      </c>
      <c r="AG18" s="22" t="s">
        <v>17</v>
      </c>
      <c r="AH18" s="22" t="s">
        <v>17</v>
      </c>
      <c r="AI18" s="22" t="s">
        <v>8</v>
      </c>
      <c r="AJ18" s="22" t="s">
        <v>8</v>
      </c>
      <c r="AK18" s="22"/>
      <c r="AL18" s="22" t="s">
        <v>17</v>
      </c>
      <c r="AM18" s="22"/>
      <c r="AN18" s="23" t="s">
        <v>15</v>
      </c>
      <c r="AO18" s="24"/>
    </row>
    <row r="19" spans="2:50" ht="14.25" customHeight="1">
      <c r="B19" s="21" t="s">
        <v>42</v>
      </c>
      <c r="C19" s="22" t="s">
        <v>38</v>
      </c>
      <c r="D19" s="22" t="s">
        <v>8</v>
      </c>
      <c r="E19" s="22"/>
      <c r="F19" s="22" t="s">
        <v>33</v>
      </c>
      <c r="G19" s="22" t="s">
        <v>33</v>
      </c>
      <c r="H19" s="22" t="s">
        <v>33</v>
      </c>
      <c r="I19" s="22" t="s">
        <v>33</v>
      </c>
      <c r="J19" s="22" t="s">
        <v>8</v>
      </c>
      <c r="K19" s="22" t="s">
        <v>8</v>
      </c>
      <c r="L19" s="22" t="s">
        <v>8</v>
      </c>
      <c r="M19" s="22"/>
      <c r="N19" s="22" t="s">
        <v>33</v>
      </c>
      <c r="O19" s="22" t="s">
        <v>33</v>
      </c>
      <c r="P19" s="22" t="s">
        <v>33</v>
      </c>
      <c r="Q19" s="22" t="s">
        <v>33</v>
      </c>
      <c r="R19" s="22" t="s">
        <v>33</v>
      </c>
      <c r="S19" s="22" t="s">
        <v>38</v>
      </c>
      <c r="T19" s="22" t="s">
        <v>8</v>
      </c>
      <c r="U19" s="22"/>
      <c r="V19" s="22" t="s">
        <v>8</v>
      </c>
      <c r="W19" s="22" t="s">
        <v>33</v>
      </c>
      <c r="X19" s="22" t="s">
        <v>33</v>
      </c>
      <c r="Y19" s="22" t="s">
        <v>33</v>
      </c>
      <c r="Z19" s="22" t="s">
        <v>33</v>
      </c>
      <c r="AA19" s="22" t="s">
        <v>8</v>
      </c>
      <c r="AB19" s="22" t="s">
        <v>8</v>
      </c>
      <c r="AC19" s="22"/>
      <c r="AD19" s="22" t="s">
        <v>33</v>
      </c>
      <c r="AE19" s="22" t="s">
        <v>33</v>
      </c>
      <c r="AF19" s="22" t="s">
        <v>33</v>
      </c>
      <c r="AG19" s="22" t="s">
        <v>33</v>
      </c>
      <c r="AH19" s="22" t="s">
        <v>33</v>
      </c>
      <c r="AI19" s="22" t="s">
        <v>38</v>
      </c>
      <c r="AJ19" s="22" t="s">
        <v>8</v>
      </c>
      <c r="AK19" s="22"/>
      <c r="AL19" s="22" t="s">
        <v>17</v>
      </c>
      <c r="AM19" s="22"/>
      <c r="AN19" s="23" t="s">
        <v>15</v>
      </c>
      <c r="AO19" s="24"/>
    </row>
    <row r="20" spans="2:50" ht="14.25" customHeight="1">
      <c r="B20" s="26"/>
      <c r="C20" s="27"/>
      <c r="D20" s="27"/>
      <c r="E20" s="27"/>
      <c r="F20" s="27"/>
      <c r="G20" s="27"/>
      <c r="H20" s="27"/>
      <c r="I20" s="27"/>
      <c r="J20" s="27"/>
      <c r="K20" s="27"/>
      <c r="L20" s="27"/>
      <c r="M20" s="27"/>
      <c r="N20" s="22"/>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14"/>
    </row>
    <row r="21" spans="2:50">
      <c r="B21" s="452" t="s">
        <v>58</v>
      </c>
      <c r="C21" s="452"/>
      <c r="D21" s="452"/>
      <c r="E21" s="452"/>
      <c r="F21" s="452"/>
      <c r="G21" s="452"/>
      <c r="H21" s="452"/>
      <c r="I21" s="452"/>
      <c r="J21" s="452"/>
      <c r="K21" s="452"/>
      <c r="L21" s="452"/>
      <c r="M21" s="452"/>
      <c r="N21" s="452"/>
      <c r="O21" s="452"/>
      <c r="P21" s="452"/>
      <c r="Q21" s="452"/>
      <c r="R21" s="452"/>
      <c r="S21" s="452"/>
      <c r="T21" s="452"/>
      <c r="U21" s="452"/>
      <c r="V21" s="452"/>
      <c r="W21" s="452"/>
      <c r="X21" s="452"/>
      <c r="Y21" s="452"/>
      <c r="Z21" s="452"/>
      <c r="AA21" s="452"/>
      <c r="AB21" s="452"/>
      <c r="AC21" s="452"/>
      <c r="AD21" s="452"/>
      <c r="AE21" s="452"/>
      <c r="AF21" s="452"/>
      <c r="AG21" s="452"/>
      <c r="AH21" s="452"/>
      <c r="AI21" s="452"/>
      <c r="AJ21" s="452"/>
      <c r="AK21" s="452"/>
      <c r="AL21" s="452"/>
      <c r="AM21" s="452"/>
      <c r="AN21" s="452"/>
      <c r="AO21" s="452"/>
    </row>
    <row r="22" spans="2:50">
      <c r="B22" s="453" t="s">
        <v>7</v>
      </c>
      <c r="C22" s="18" t="s">
        <v>12</v>
      </c>
      <c r="D22" s="19" t="s">
        <v>13</v>
      </c>
      <c r="E22" s="454" t="s">
        <v>14</v>
      </c>
      <c r="F22" s="18" t="s">
        <v>8</v>
      </c>
      <c r="G22" s="18" t="s">
        <v>9</v>
      </c>
      <c r="H22" s="18" t="s">
        <v>9</v>
      </c>
      <c r="I22" s="18" t="s">
        <v>10</v>
      </c>
      <c r="J22" s="19" t="s">
        <v>11</v>
      </c>
      <c r="K22" s="18" t="s">
        <v>12</v>
      </c>
      <c r="L22" s="19" t="s">
        <v>13</v>
      </c>
      <c r="M22" s="454" t="s">
        <v>14</v>
      </c>
      <c r="N22" s="23" t="s">
        <v>8</v>
      </c>
      <c r="O22" s="23" t="s">
        <v>9</v>
      </c>
      <c r="P22" s="18" t="s">
        <v>9</v>
      </c>
      <c r="Q22" s="18" t="s">
        <v>10</v>
      </c>
      <c r="R22" s="18" t="s">
        <v>11</v>
      </c>
      <c r="S22" s="18" t="s">
        <v>12</v>
      </c>
      <c r="T22" s="19" t="s">
        <v>13</v>
      </c>
      <c r="U22" s="454" t="s">
        <v>14</v>
      </c>
      <c r="V22" s="19" t="s">
        <v>8</v>
      </c>
      <c r="W22" s="18" t="s">
        <v>9</v>
      </c>
      <c r="X22" s="18" t="s">
        <v>9</v>
      </c>
      <c r="Y22" s="18" t="s">
        <v>10</v>
      </c>
      <c r="Z22" s="18" t="s">
        <v>11</v>
      </c>
      <c r="AA22" s="18" t="s">
        <v>12</v>
      </c>
      <c r="AB22" s="19" t="s">
        <v>13</v>
      </c>
      <c r="AC22" s="454" t="s">
        <v>14</v>
      </c>
      <c r="AD22" s="75" t="s">
        <v>8</v>
      </c>
      <c r="AE22" s="18" t="s">
        <v>9</v>
      </c>
      <c r="AF22" s="18" t="s">
        <v>9</v>
      </c>
      <c r="AG22" s="18" t="s">
        <v>10</v>
      </c>
      <c r="AH22" s="18" t="s">
        <v>11</v>
      </c>
      <c r="AI22" s="18" t="s">
        <v>12</v>
      </c>
      <c r="AJ22" s="19" t="s">
        <v>13</v>
      </c>
      <c r="AK22" s="454" t="s">
        <v>14</v>
      </c>
      <c r="AL22" s="18" t="s">
        <v>8</v>
      </c>
      <c r="AM22" s="454" t="s">
        <v>14</v>
      </c>
      <c r="AN22" s="456" t="s">
        <v>15</v>
      </c>
      <c r="AO22" s="458" t="s">
        <v>41</v>
      </c>
    </row>
    <row r="23" spans="2:50">
      <c r="B23" s="453"/>
      <c r="C23" s="18">
        <v>1</v>
      </c>
      <c r="D23" s="20">
        <v>2</v>
      </c>
      <c r="E23" s="455"/>
      <c r="F23" s="18">
        <v>3</v>
      </c>
      <c r="G23" s="18">
        <v>4</v>
      </c>
      <c r="H23" s="18">
        <v>5</v>
      </c>
      <c r="I23" s="18">
        <v>6</v>
      </c>
      <c r="J23" s="20">
        <v>7</v>
      </c>
      <c r="K23" s="18">
        <v>8</v>
      </c>
      <c r="L23" s="20">
        <v>9</v>
      </c>
      <c r="M23" s="455"/>
      <c r="N23" s="23">
        <v>10</v>
      </c>
      <c r="O23" s="23">
        <v>11</v>
      </c>
      <c r="P23" s="18">
        <v>12</v>
      </c>
      <c r="Q23" s="18">
        <v>13</v>
      </c>
      <c r="R23" s="18">
        <v>14</v>
      </c>
      <c r="S23" s="18">
        <v>15</v>
      </c>
      <c r="T23" s="20">
        <v>16</v>
      </c>
      <c r="U23" s="455"/>
      <c r="V23" s="20">
        <v>17</v>
      </c>
      <c r="W23" s="18">
        <v>18</v>
      </c>
      <c r="X23" s="18">
        <v>19</v>
      </c>
      <c r="Y23" s="18">
        <v>20</v>
      </c>
      <c r="Z23" s="18">
        <v>21</v>
      </c>
      <c r="AA23" s="18">
        <v>22</v>
      </c>
      <c r="AB23" s="20">
        <v>23</v>
      </c>
      <c r="AC23" s="455"/>
      <c r="AD23" s="18">
        <v>24</v>
      </c>
      <c r="AE23" s="18">
        <v>25</v>
      </c>
      <c r="AF23" s="18">
        <v>26</v>
      </c>
      <c r="AG23" s="18">
        <v>27</v>
      </c>
      <c r="AH23" s="18">
        <v>28</v>
      </c>
      <c r="AI23" s="18">
        <v>29</v>
      </c>
      <c r="AJ23" s="20">
        <v>30</v>
      </c>
      <c r="AK23" s="455"/>
      <c r="AL23" s="18">
        <v>31</v>
      </c>
      <c r="AM23" s="455"/>
      <c r="AN23" s="457"/>
      <c r="AO23" s="459"/>
    </row>
    <row r="24" spans="2:50">
      <c r="B24" s="29" t="str">
        <f t="shared" ref="B24:B29" si="0">+B14</f>
        <v>PAULA PACHECO</v>
      </c>
      <c r="C24" s="23">
        <f t="shared" ref="C24:D29" si="1">VLOOKUP(C14,$D$41:$U$49,18,FALSE)</f>
        <v>0</v>
      </c>
      <c r="D24" s="28">
        <f t="shared" si="1"/>
        <v>12</v>
      </c>
      <c r="E24" s="23">
        <f t="shared" ref="E24:E29" si="2">SUM(C24:D24)</f>
        <v>12</v>
      </c>
      <c r="F24" s="18">
        <f>VLOOKUP(F14,D21:V49,18,)</f>
        <v>12</v>
      </c>
      <c r="G24" s="23">
        <f>VLOOKUP(G14,D21:V49,18,)</f>
        <v>0</v>
      </c>
      <c r="H24" s="23">
        <f>VLOOKUP(H14,D21:V49,18,)</f>
        <v>0</v>
      </c>
      <c r="I24" s="18">
        <f>VLOOKUP(I14,D39:V49,18,)</f>
        <v>12</v>
      </c>
      <c r="J24" s="19">
        <f>VLOOKUP(J14,D21:V49,18,)</f>
        <v>12</v>
      </c>
      <c r="K24" s="23">
        <f>VLOOKUP(K14,D21:V49,18,)</f>
        <v>0</v>
      </c>
      <c r="L24" s="28">
        <f>VLOOKUP(L14,D21:V49,18,)</f>
        <v>0</v>
      </c>
      <c r="M24" s="22">
        <f>SUM(F24:L24)</f>
        <v>36</v>
      </c>
      <c r="N24" s="23">
        <f>VLOOKUP(N14,D39:V49,18,)</f>
        <v>12</v>
      </c>
      <c r="O24" s="23">
        <f>VLOOKUP(O14,D21:V49,18,)</f>
        <v>12</v>
      </c>
      <c r="P24" s="23">
        <f>VLOOKUP(P14,D39:V50,18,)</f>
        <v>0</v>
      </c>
      <c r="Q24" s="23">
        <f>VLOOKUP(Q14,D24:X51,18,)</f>
        <v>0</v>
      </c>
      <c r="R24" s="23">
        <f>VLOOKUP(R14,D39:V49,18,)</f>
        <v>0</v>
      </c>
      <c r="S24" s="23">
        <f>VLOOKUP(S14,D21:V49,18,)</f>
        <v>12</v>
      </c>
      <c r="T24" s="28">
        <f>VLOOKUP(T14,D39:V49,18,)</f>
        <v>0</v>
      </c>
      <c r="U24" s="23">
        <f>SUM(N24:T24)</f>
        <v>36</v>
      </c>
      <c r="V24" s="19">
        <f>VLOOKUP(V14,D21:V49,18,)</f>
        <v>0</v>
      </c>
      <c r="W24" s="23">
        <f>VLOOKUP(W14,D39:V49,18,)</f>
        <v>0</v>
      </c>
      <c r="X24" s="23">
        <f>VLOOKUP(X14,D39:V49,18,)</f>
        <v>12</v>
      </c>
      <c r="Y24" s="23">
        <f>VLOOKUP(Y14,D39:V49,18,)</f>
        <v>0</v>
      </c>
      <c r="Z24" s="23">
        <f>VLOOKUP(Z14,D39:V49,18,)</f>
        <v>0</v>
      </c>
      <c r="AA24" s="23">
        <f>VLOOKUP(AA14,D39:V49,18,)</f>
        <v>12</v>
      </c>
      <c r="AB24" s="28">
        <f>VLOOKUP(AB14,D21:V49,18,)</f>
        <v>12</v>
      </c>
      <c r="AC24" s="23">
        <f t="shared" ref="AC24:AC29" si="3">SUM(V24:AB24)</f>
        <v>36</v>
      </c>
      <c r="AD24" s="23">
        <f>VLOOKUP(AD14,D21:V49,18,)</f>
        <v>0</v>
      </c>
      <c r="AE24" s="23">
        <f t="shared" ref="AE24" si="4">VLOOKUP(AE14,D21:V49,18,)</f>
        <v>0</v>
      </c>
      <c r="AF24" s="23">
        <f>VLOOKUP(AF14,D39:V49,18,)</f>
        <v>11</v>
      </c>
      <c r="AG24" s="23">
        <f>VLOOKUP(AG14,D21:V49,18,)</f>
        <v>12</v>
      </c>
      <c r="AH24" s="23">
        <f>VLOOKUP(AH14,D40:W49,18,)</f>
        <v>0</v>
      </c>
      <c r="AI24" s="23">
        <f>VLOOKUP(AI14,D39:V49,18,)</f>
        <v>0</v>
      </c>
      <c r="AJ24" s="19">
        <f>VLOOKUP(AJ14,D39:V49,18,)</f>
        <v>12</v>
      </c>
      <c r="AK24" s="23">
        <f>SUM(AD24:AJ24)</f>
        <v>35</v>
      </c>
      <c r="AL24" s="23">
        <f>VLOOKUP(AL14,D39:V49,18,)</f>
        <v>12</v>
      </c>
      <c r="AM24" s="23">
        <f>+AL24</f>
        <v>12</v>
      </c>
      <c r="AN24" s="23">
        <v>1</v>
      </c>
      <c r="AO24" s="30">
        <f>SUM(E24+M24+AN24+AC24+U24+AK24+AM24)</f>
        <v>168</v>
      </c>
    </row>
    <row r="25" spans="2:50">
      <c r="B25" s="29" t="str">
        <f t="shared" si="0"/>
        <v xml:space="preserve">DAVID ARTURO MORALES </v>
      </c>
      <c r="C25" s="23">
        <f t="shared" si="1"/>
        <v>0</v>
      </c>
      <c r="D25" s="28">
        <f t="shared" si="1"/>
        <v>0</v>
      </c>
      <c r="E25" s="23">
        <f t="shared" si="2"/>
        <v>0</v>
      </c>
      <c r="F25" s="18">
        <f>VLOOKUP(F15,D39:V54,18,)</f>
        <v>12</v>
      </c>
      <c r="G25" s="23">
        <f>VLOOKUP(G15,D21:W48,18,)</f>
        <v>12</v>
      </c>
      <c r="H25" s="23">
        <f>VLOOKUP(H15,D21:V49,18,)</f>
        <v>0</v>
      </c>
      <c r="I25" s="18">
        <f>VLOOKUP(I15,D21:V49,18,)</f>
        <v>0</v>
      </c>
      <c r="J25" s="20">
        <f>VLOOKUP(J15,D39:V49,18,)</f>
        <v>12</v>
      </c>
      <c r="K25" s="23">
        <f>VLOOKUP(K15,D21:V49,18,)</f>
        <v>12</v>
      </c>
      <c r="L25" s="28">
        <f>VLOOKUP(L15,D21:V49,18,)</f>
        <v>0</v>
      </c>
      <c r="M25" s="22">
        <f t="shared" ref="M25:M29" si="5">SUM(F25:L25)</f>
        <v>48</v>
      </c>
      <c r="N25" s="23">
        <f>VLOOKUP(N15,D21:V54,18,)</f>
        <v>0</v>
      </c>
      <c r="O25" s="23">
        <f>VLOOKUP(O15,D39:V54,18,)</f>
        <v>12</v>
      </c>
      <c r="P25" s="23">
        <f>VLOOKUP(P15,D39:V49,18,)</f>
        <v>12</v>
      </c>
      <c r="Q25" s="23">
        <f>VLOOKUP(Q15,D22:X49,18,)</f>
        <v>0</v>
      </c>
      <c r="R25" s="23">
        <f>VLOOKUP(R15,D21:Y49,18,)</f>
        <v>0</v>
      </c>
      <c r="S25" s="23">
        <f>VLOOKUP(S15,D39:V54,18,)</f>
        <v>12</v>
      </c>
      <c r="T25" s="28">
        <f>VLOOKUP(T15,D40:V54,18,)</f>
        <v>12</v>
      </c>
      <c r="U25" s="23">
        <f t="shared" ref="U25:U29" si="6">SUM(N25:T25)</f>
        <v>48</v>
      </c>
      <c r="V25" s="20">
        <f>VLOOKUP(V15,D21:V54,18,)</f>
        <v>0</v>
      </c>
      <c r="W25" s="23">
        <f>VLOOKUP(W15,D39:V49,18,)</f>
        <v>0</v>
      </c>
      <c r="X25" s="23">
        <f>VLOOKUP(X15,D40:V54,18,)</f>
        <v>0</v>
      </c>
      <c r="Y25" s="23">
        <f>VLOOKUP(Y15,D39:V49,18,)</f>
        <v>12</v>
      </c>
      <c r="Z25" s="23">
        <f>VLOOKUP(Z15,D39:V49,18,)</f>
        <v>0</v>
      </c>
      <c r="AA25" s="23">
        <f>VLOOKUP(AA15,D39:V49,18,)</f>
        <v>0</v>
      </c>
      <c r="AB25" s="28">
        <f>VLOOKUP(AB15,D39:V54,18,)</f>
        <v>12</v>
      </c>
      <c r="AC25" s="23">
        <f t="shared" si="3"/>
        <v>24</v>
      </c>
      <c r="AD25" s="23">
        <f>VLOOKUP(AD15,D22:V54,18,)</f>
        <v>12</v>
      </c>
      <c r="AE25" s="23">
        <f>VLOOKUP(AE15,D22:V54,18,)</f>
        <v>0</v>
      </c>
      <c r="AF25" s="23">
        <f>VLOOKUP(AF15,D22:V54,18,)</f>
        <v>0</v>
      </c>
      <c r="AG25" s="23">
        <f>VLOOKUP(AG15,D39:V54,18,)</f>
        <v>11</v>
      </c>
      <c r="AH25" s="23">
        <f>VLOOKUP(AH15,D39:V49,18,)</f>
        <v>12</v>
      </c>
      <c r="AI25" s="23">
        <f>VLOOKUP(AI15,D39:V54,18,)</f>
        <v>0</v>
      </c>
      <c r="AJ25" s="20">
        <f>VLOOKUP(AJ15,D22:V54,18,)</f>
        <v>0</v>
      </c>
      <c r="AK25" s="23">
        <f t="shared" ref="AK25:AK29" si="7">SUM(AD25:AJ25)</f>
        <v>35</v>
      </c>
      <c r="AL25" s="23">
        <f>VLOOKUP(AL15,D39:V54,18,)</f>
        <v>12</v>
      </c>
      <c r="AM25" s="23">
        <f t="shared" ref="AM25:AM29" si="8">+AL25</f>
        <v>12</v>
      </c>
      <c r="AN25" s="23">
        <v>1</v>
      </c>
      <c r="AO25" s="30">
        <f t="shared" ref="AO25:AO29" si="9">SUM(E25+M25+AN25+AC25+U25+AK25+AM25)</f>
        <v>168</v>
      </c>
    </row>
    <row r="26" spans="2:50">
      <c r="B26" s="29" t="str">
        <f t="shared" si="0"/>
        <v xml:space="preserve">ANGIE ROMERO </v>
      </c>
      <c r="C26" s="23">
        <f t="shared" si="1"/>
        <v>12</v>
      </c>
      <c r="D26" s="28">
        <f t="shared" si="1"/>
        <v>0</v>
      </c>
      <c r="E26" s="23">
        <f t="shared" si="2"/>
        <v>12</v>
      </c>
      <c r="F26" s="18">
        <f>VLOOKUP(F16,D21:V55,18,)</f>
        <v>0</v>
      </c>
      <c r="G26" s="23">
        <f>VLOOKUP(G16,D39:V54,18,)</f>
        <v>12</v>
      </c>
      <c r="H26" s="23">
        <f>VLOOKUP(H16,D21:V49,18,)</f>
        <v>12</v>
      </c>
      <c r="I26" s="18">
        <f>VLOOKUP(I16,D21:V49,18,)</f>
        <v>0</v>
      </c>
      <c r="J26" s="19">
        <f>VLOOKUP(J16,D21:V49,18,)</f>
        <v>0</v>
      </c>
      <c r="K26" s="23">
        <f>VLOOKUP(K16,D39:V49,18,)</f>
        <v>12</v>
      </c>
      <c r="L26" s="28">
        <f>VLOOKUP(L16,D21:V49,18,)</f>
        <v>12</v>
      </c>
      <c r="M26" s="22">
        <f t="shared" si="5"/>
        <v>48</v>
      </c>
      <c r="N26" s="23">
        <f>VLOOKUP(N16,D22:V55,18,)</f>
        <v>0</v>
      </c>
      <c r="O26" s="23">
        <f>VLOOKUP(O16,D22:V55,18,)</f>
        <v>0</v>
      </c>
      <c r="P26" s="23">
        <f>VLOOKUP(P16,D39:V49,18,)</f>
        <v>12</v>
      </c>
      <c r="Q26" s="23">
        <f>VLOOKUP(Q16,D22:X48,18,)</f>
        <v>12</v>
      </c>
      <c r="R26" s="23">
        <f>VLOOKUP(R16,D23:Y49,18,)</f>
        <v>0</v>
      </c>
      <c r="S26" s="23">
        <f>VLOOKUP(S16,D22:V55,18,)</f>
        <v>0</v>
      </c>
      <c r="T26" s="28">
        <f>VLOOKUP(T16,D41:V55,18,)</f>
        <v>12</v>
      </c>
      <c r="U26" s="23">
        <f t="shared" si="6"/>
        <v>36</v>
      </c>
      <c r="V26" s="19">
        <f>VLOOKUP(V16,D22:V55,18,)</f>
        <v>12</v>
      </c>
      <c r="W26" s="23">
        <f>VLOOKUP(W16,D22:W54,18,)</f>
        <v>0</v>
      </c>
      <c r="X26" s="23">
        <f>VLOOKUP(X16,D41:V55,18,)</f>
        <v>0</v>
      </c>
      <c r="Y26" s="23">
        <f>VLOOKUP(Y16,D39:V49,18,)</f>
        <v>12</v>
      </c>
      <c r="Z26" s="23">
        <f>VLOOKUP(Z16,D39:V49,18,)</f>
        <v>12</v>
      </c>
      <c r="AA26" s="23">
        <f>VLOOKUP(AA16,D39:V49,18,)</f>
        <v>0</v>
      </c>
      <c r="AB26" s="28">
        <f>VLOOKUP(AB16,D22:V55,18,)</f>
        <v>0</v>
      </c>
      <c r="AC26" s="23">
        <f t="shared" si="3"/>
        <v>36</v>
      </c>
      <c r="AD26" s="23">
        <f>VLOOKUP(AD16,D23:V55,18,)</f>
        <v>0</v>
      </c>
      <c r="AE26" s="23">
        <f>VLOOKUP(AE16,D23:V55,18,)</f>
        <v>12</v>
      </c>
      <c r="AF26" s="23">
        <f>VLOOKUP(AF16,D23:V55,18,)</f>
        <v>0</v>
      </c>
      <c r="AG26" s="23">
        <f>VLOOKUP(AG16,D23:V55,18,)</f>
        <v>0</v>
      </c>
      <c r="AH26" s="23">
        <f>VLOOKUP(AH16,D39:V55,18,)</f>
        <v>11</v>
      </c>
      <c r="AI26" s="23">
        <f>VLOOKUP(AI16,D39:W54,18,)</f>
        <v>12</v>
      </c>
      <c r="AJ26" s="19">
        <f>VLOOKUP(AJ16,D23:V55,18,)</f>
        <v>0</v>
      </c>
      <c r="AK26" s="23">
        <f t="shared" si="7"/>
        <v>35</v>
      </c>
      <c r="AL26" s="23">
        <f>VLOOKUP(AL16,D39:V54,18,)</f>
        <v>0</v>
      </c>
      <c r="AM26" s="23">
        <f t="shared" si="8"/>
        <v>0</v>
      </c>
      <c r="AN26" s="23">
        <v>1</v>
      </c>
      <c r="AO26" s="30">
        <f t="shared" si="9"/>
        <v>168</v>
      </c>
    </row>
    <row r="27" spans="2:50">
      <c r="B27" s="29" t="str">
        <f t="shared" si="0"/>
        <v xml:space="preserve">JULIANA RIVEROS </v>
      </c>
      <c r="C27" s="23">
        <f t="shared" si="1"/>
        <v>12</v>
      </c>
      <c r="D27" s="28">
        <f t="shared" si="1"/>
        <v>12</v>
      </c>
      <c r="E27" s="23">
        <f t="shared" si="2"/>
        <v>24</v>
      </c>
      <c r="F27" s="18">
        <f>VLOOKUP(F17,D21:V56,18,)</f>
        <v>0</v>
      </c>
      <c r="G27" s="23">
        <f>VLOOKUP(G17,D21:W54,18,)</f>
        <v>0</v>
      </c>
      <c r="H27" s="23">
        <f>VLOOKUP(H17,D39:V54,18,)</f>
        <v>12</v>
      </c>
      <c r="I27" s="18">
        <f>VLOOKUP(I17,D21:V49,18,)</f>
        <v>12</v>
      </c>
      <c r="J27" s="20">
        <f>VLOOKUP(J17,D21:V54,18,)</f>
        <v>0</v>
      </c>
      <c r="K27" s="23">
        <f>VLOOKUP(K17,D21:V54,18,)</f>
        <v>0</v>
      </c>
      <c r="L27" s="28">
        <f>VLOOKUP(L17,D39:V54,18,)</f>
        <v>12</v>
      </c>
      <c r="M27" s="22">
        <f t="shared" si="5"/>
        <v>36</v>
      </c>
      <c r="N27" s="23">
        <f>VLOOKUP(N17,D23:V56,18,)</f>
        <v>12</v>
      </c>
      <c r="O27" s="23">
        <f>VLOOKUP(O17,D23:V56,18,)</f>
        <v>0</v>
      </c>
      <c r="P27" s="23">
        <f>VLOOKUP(P17,D24:W49,18,)</f>
        <v>0</v>
      </c>
      <c r="Q27" s="23">
        <f>VLOOKUP(Q17,D24:X49,18,)</f>
        <v>0</v>
      </c>
      <c r="R27" s="23">
        <f>VLOOKUP(R17,D23:Y48,18,)</f>
        <v>12</v>
      </c>
      <c r="S27" s="23">
        <f>VLOOKUP(S17,D23:V56,18,)</f>
        <v>0</v>
      </c>
      <c r="T27" s="28">
        <f>VLOOKUP(T17,D42:V56,18,)</f>
        <v>0</v>
      </c>
      <c r="U27" s="23">
        <f t="shared" si="6"/>
        <v>24</v>
      </c>
      <c r="V27" s="20">
        <f>VLOOKUP(V17,D23:V56,18,)</f>
        <v>12</v>
      </c>
      <c r="W27" s="23">
        <f>VLOOKUP(W17,D23:W55,18,)</f>
        <v>12</v>
      </c>
      <c r="X27" s="23">
        <f>VLOOKUP(X17,D42:V56,18,)</f>
        <v>0</v>
      </c>
      <c r="Y27" s="23">
        <f>VLOOKUP(Y17,D39:V49,18,)</f>
        <v>0</v>
      </c>
      <c r="Z27" s="23">
        <f>VLOOKUP(Z17,D39:V49,18,)</f>
        <v>0</v>
      </c>
      <c r="AA27" s="23">
        <f>VLOOKUP(AA17,D39:V49,18,)</f>
        <v>12</v>
      </c>
      <c r="AB27" s="28">
        <f>VLOOKUP(AB17,D23:V56,18,)</f>
        <v>0</v>
      </c>
      <c r="AC27" s="23">
        <f t="shared" si="3"/>
        <v>36</v>
      </c>
      <c r="AD27" s="23">
        <f>VLOOKUP(AD17,D24:V56,18,)</f>
        <v>0</v>
      </c>
      <c r="AE27" s="23">
        <f>VLOOKUP(AE17,D24:V56,18,)</f>
        <v>11</v>
      </c>
      <c r="AF27" s="23">
        <f>VLOOKUP(AF17,D24:V56,18,)</f>
        <v>12</v>
      </c>
      <c r="AG27" s="23">
        <f>VLOOKUP(AG17,D24:V56,18,)</f>
        <v>0</v>
      </c>
      <c r="AH27" s="23">
        <f>VLOOKUP(AH17,D39:V54,18,)</f>
        <v>0</v>
      </c>
      <c r="AI27" s="23">
        <f>VLOOKUP(AI17,D39:W55,18,)</f>
        <v>12</v>
      </c>
      <c r="AJ27" s="20">
        <f>VLOOKUP(AJ17,D24:V56,18,)</f>
        <v>12</v>
      </c>
      <c r="AK27" s="23">
        <f t="shared" si="7"/>
        <v>47</v>
      </c>
      <c r="AL27" s="23">
        <f>VLOOKUP(AL17,D39:V56,18,)</f>
        <v>0</v>
      </c>
      <c r="AM27" s="23">
        <f t="shared" si="8"/>
        <v>0</v>
      </c>
      <c r="AN27" s="23">
        <v>1</v>
      </c>
      <c r="AO27" s="30">
        <f t="shared" si="9"/>
        <v>168</v>
      </c>
    </row>
    <row r="28" spans="2:50">
      <c r="B28" s="29" t="str">
        <f t="shared" si="0"/>
        <v>JHENI OBANDO</v>
      </c>
      <c r="C28" s="23">
        <f t="shared" si="1"/>
        <v>0</v>
      </c>
      <c r="D28" s="28">
        <f t="shared" si="1"/>
        <v>0</v>
      </c>
      <c r="E28" s="23">
        <f t="shared" si="2"/>
        <v>0</v>
      </c>
      <c r="F28" s="18">
        <f>VLOOKUP(F18,D21:V56,18,)</f>
        <v>8</v>
      </c>
      <c r="G28" s="23">
        <f>VLOOKUP(G18,D21:W54,18,)</f>
        <v>8</v>
      </c>
      <c r="H28" s="23">
        <f>VLOOKUP(H18,D21:V54,18,)</f>
        <v>8</v>
      </c>
      <c r="I28" s="18">
        <f>VLOOKUP(I18,D20:V49,18,)</f>
        <v>8</v>
      </c>
      <c r="J28" s="19">
        <f>VLOOKUP(J18,D21:V54,18,)</f>
        <v>0</v>
      </c>
      <c r="K28" s="23">
        <f>VLOOKUP(K18,D21:V54,18,)</f>
        <v>7</v>
      </c>
      <c r="L28" s="28">
        <f>VLOOKUP(L18,D21:V54,18,)</f>
        <v>0</v>
      </c>
      <c r="M28" s="22">
        <f t="shared" si="5"/>
        <v>39</v>
      </c>
      <c r="N28" s="23">
        <f>VLOOKUP(N18,D23:V56,18,)</f>
        <v>8</v>
      </c>
      <c r="O28" s="23">
        <f>VLOOKUP(O18,D23:V56,18,)</f>
        <v>8</v>
      </c>
      <c r="P28" s="23">
        <f>VLOOKUP(P18,D23:W47,18,)</f>
        <v>8</v>
      </c>
      <c r="Q28" s="23">
        <f>VLOOKUP(Q18,D38:V48,18,)</f>
        <v>8</v>
      </c>
      <c r="R28" s="23">
        <f>VLOOKUP(R18,D23:Y47,18,)</f>
        <v>8</v>
      </c>
      <c r="S28" s="23">
        <f>VLOOKUP(S18,D23:V56,18,)</f>
        <v>0</v>
      </c>
      <c r="T28" s="28">
        <f>VLOOKUP(T18,D43:V57,18,)</f>
        <v>0</v>
      </c>
      <c r="U28" s="23">
        <f t="shared" si="6"/>
        <v>40</v>
      </c>
      <c r="V28" s="19">
        <f>VLOOKUP(V18,D23:V56,18,)</f>
        <v>0</v>
      </c>
      <c r="W28" s="23">
        <f>VLOOKUP(W18,D23:W55,18,)</f>
        <v>8</v>
      </c>
      <c r="X28" s="23">
        <f>VLOOKUP(X18,D42:V56,18,)</f>
        <v>8</v>
      </c>
      <c r="Y28" s="23">
        <f>VLOOKUP(Y18,D38:V48,18,)</f>
        <v>8</v>
      </c>
      <c r="Z28" s="23">
        <f>VLOOKUP(Z18,D38:V48,18,)</f>
        <v>8</v>
      </c>
      <c r="AA28" s="23">
        <f>VLOOKUP(AA18,D38:V48,18,)</f>
        <v>8</v>
      </c>
      <c r="AB28" s="28">
        <f>VLOOKUP(AB18,D23:V56,18,)</f>
        <v>0</v>
      </c>
      <c r="AC28" s="23">
        <f t="shared" si="3"/>
        <v>40</v>
      </c>
      <c r="AD28" s="23">
        <f>VLOOKUP(AD18,D24:V56,18,)</f>
        <v>8</v>
      </c>
      <c r="AE28" s="23">
        <f>VLOOKUP(AE18,D25:V57,18,)</f>
        <v>8</v>
      </c>
      <c r="AF28" s="23">
        <f>VLOOKUP(AF18,D25:V57,18,)</f>
        <v>8</v>
      </c>
      <c r="AG28" s="23">
        <f>VLOOKUP(AG18,D25:V57,18,)</f>
        <v>8</v>
      </c>
      <c r="AH28" s="23">
        <f>VLOOKUP(AH18,D39:V54,18,)</f>
        <v>8</v>
      </c>
      <c r="AI28" s="23">
        <f>VLOOKUP(AI18,D39:W56,18,)</f>
        <v>0</v>
      </c>
      <c r="AJ28" s="19">
        <f>VLOOKUP(AJ18,D25:V57,18,)</f>
        <v>0</v>
      </c>
      <c r="AK28" s="23">
        <f t="shared" si="7"/>
        <v>40</v>
      </c>
      <c r="AL28" s="23">
        <f>VLOOKUP(AL18,D25:V57,18,)</f>
        <v>8</v>
      </c>
      <c r="AM28" s="23">
        <f>+AL28</f>
        <v>8</v>
      </c>
      <c r="AN28" s="23">
        <v>1</v>
      </c>
      <c r="AO28" s="30">
        <f t="shared" si="9"/>
        <v>168</v>
      </c>
    </row>
    <row r="29" spans="2:50">
      <c r="B29" s="29" t="str">
        <f t="shared" si="0"/>
        <v>ANDRES FELIPE MORENO - GESTOR</v>
      </c>
      <c r="C29" s="23">
        <f t="shared" si="1"/>
        <v>5</v>
      </c>
      <c r="D29" s="28">
        <f t="shared" si="1"/>
        <v>0</v>
      </c>
      <c r="E29" s="23">
        <f t="shared" si="2"/>
        <v>5</v>
      </c>
      <c r="F29" s="18">
        <f>VLOOKUP(F19,D22:V57,18,)</f>
        <v>8</v>
      </c>
      <c r="G29" s="23">
        <f>VLOOKUP(G19,D22:W55,18,)</f>
        <v>8</v>
      </c>
      <c r="H29" s="23">
        <f>VLOOKUP(H19,D22:V55,18,)</f>
        <v>8</v>
      </c>
      <c r="I29" s="18">
        <f>VLOOKUP(I19,D21:V54,18,)</f>
        <v>8</v>
      </c>
      <c r="J29" s="20">
        <f>VLOOKUP(J19,D22:V55,18,)</f>
        <v>0</v>
      </c>
      <c r="K29" s="23">
        <f>VLOOKUP(K19,D22:V55,18,)</f>
        <v>0</v>
      </c>
      <c r="L29" s="28">
        <f>VLOOKUP(L19,D22:V55,18,)</f>
        <v>0</v>
      </c>
      <c r="M29" s="22">
        <f t="shared" si="5"/>
        <v>32</v>
      </c>
      <c r="N29" s="23">
        <f>VLOOKUP(N19,D24:V57,18,)</f>
        <v>8</v>
      </c>
      <c r="O29" s="23">
        <f>VLOOKUP(O19,D24:V57,18,)</f>
        <v>8</v>
      </c>
      <c r="P29" s="23">
        <f>VLOOKUP(P19,D24:W48,18,)</f>
        <v>8</v>
      </c>
      <c r="Q29" s="23">
        <f>VLOOKUP(Q19,D39:V49,18,)</f>
        <v>8</v>
      </c>
      <c r="R29" s="23">
        <f>VLOOKUP(R19,D24:Y48,18,)</f>
        <v>8</v>
      </c>
      <c r="S29" s="23">
        <f>VLOOKUP(S19,D24:V57,18,)</f>
        <v>5</v>
      </c>
      <c r="T29" s="28">
        <f>VLOOKUP(T19,D45:V58,18,)</f>
        <v>0</v>
      </c>
      <c r="U29" s="23">
        <f t="shared" si="6"/>
        <v>45</v>
      </c>
      <c r="V29" s="20">
        <f>VLOOKUP(V19,D24:V57,18,)</f>
        <v>0</v>
      </c>
      <c r="W29" s="23">
        <f>VLOOKUP(W19,D24:W56,18,)</f>
        <v>8</v>
      </c>
      <c r="X29" s="23">
        <f>VLOOKUP(X19,D43:V57,18,)</f>
        <v>8</v>
      </c>
      <c r="Y29" s="23">
        <f>VLOOKUP(Y19,D39:V49,18,)</f>
        <v>8</v>
      </c>
      <c r="Z29" s="23">
        <f>VLOOKUP(Z19,D39:V49,18,)</f>
        <v>8</v>
      </c>
      <c r="AA29" s="23">
        <f>VLOOKUP(AA19,D39:V49,18,)</f>
        <v>0</v>
      </c>
      <c r="AB29" s="28">
        <f>VLOOKUP(AB19,D24:V57,18,)</f>
        <v>0</v>
      </c>
      <c r="AC29" s="23">
        <f t="shared" si="3"/>
        <v>32</v>
      </c>
      <c r="AD29" s="23">
        <f>VLOOKUP(AD19,D25:V49,18,)</f>
        <v>8</v>
      </c>
      <c r="AE29" s="23">
        <f>VLOOKUP(AE19,D26:V58,18,)</f>
        <v>8</v>
      </c>
      <c r="AF29" s="23">
        <f>VLOOKUP(AF19,D26:V58,18,)</f>
        <v>8</v>
      </c>
      <c r="AG29" s="23">
        <f>VLOOKUP(AG19,D26:V58,18,)</f>
        <v>8</v>
      </c>
      <c r="AH29" s="23">
        <f>VLOOKUP(AH19,D39:W49,18,)</f>
        <v>8</v>
      </c>
      <c r="AI29" s="23">
        <f>VLOOKUP(AI19,D39:V54,18,)</f>
        <v>5</v>
      </c>
      <c r="AJ29" s="20">
        <f>VLOOKUP(AJ19,D26:V58,18,)</f>
        <v>0</v>
      </c>
      <c r="AK29" s="23">
        <f t="shared" si="7"/>
        <v>45</v>
      </c>
      <c r="AL29" s="23">
        <f>VLOOKUP(AL19,D39:V57,18,)</f>
        <v>8</v>
      </c>
      <c r="AM29" s="23">
        <f t="shared" si="8"/>
        <v>8</v>
      </c>
      <c r="AN29" s="23">
        <v>1</v>
      </c>
      <c r="AO29" s="30">
        <f t="shared" si="9"/>
        <v>168</v>
      </c>
    </row>
    <row r="30" spans="2:50" s="35" customFormat="1" ht="16.5" customHeight="1">
      <c r="B30" s="31" t="s">
        <v>18</v>
      </c>
      <c r="C30" s="23">
        <f t="shared" ref="C30:T30" si="10">SUM(C24:C29)</f>
        <v>29</v>
      </c>
      <c r="D30" s="32">
        <f t="shared" si="10"/>
        <v>24</v>
      </c>
      <c r="E30" s="23"/>
      <c r="F30" s="18">
        <f t="shared" si="10"/>
        <v>40</v>
      </c>
      <c r="G30" s="23">
        <f t="shared" si="10"/>
        <v>40</v>
      </c>
      <c r="H30" s="23">
        <f t="shared" si="10"/>
        <v>40</v>
      </c>
      <c r="I30" s="23">
        <f t="shared" si="10"/>
        <v>40</v>
      </c>
      <c r="J30" s="19">
        <f t="shared" si="10"/>
        <v>24</v>
      </c>
      <c r="K30" s="23">
        <f t="shared" si="10"/>
        <v>31</v>
      </c>
      <c r="L30" s="32">
        <f t="shared" si="10"/>
        <v>24</v>
      </c>
      <c r="M30" s="23"/>
      <c r="N30" s="23">
        <f t="shared" si="10"/>
        <v>40</v>
      </c>
      <c r="O30" s="23">
        <f t="shared" si="10"/>
        <v>40</v>
      </c>
      <c r="P30" s="23">
        <f t="shared" si="10"/>
        <v>40</v>
      </c>
      <c r="Q30" s="23">
        <f>SUM(Q24:Q29)</f>
        <v>28</v>
      </c>
      <c r="R30" s="23">
        <f t="shared" si="10"/>
        <v>28</v>
      </c>
      <c r="S30" s="23">
        <f t="shared" si="10"/>
        <v>29</v>
      </c>
      <c r="T30" s="32">
        <f t="shared" si="10"/>
        <v>24</v>
      </c>
      <c r="U30" s="23"/>
      <c r="V30" s="19">
        <f t="shared" ref="V30:AB30" si="11">SUM(V24:V29)</f>
        <v>24</v>
      </c>
      <c r="W30" s="23">
        <f t="shared" si="11"/>
        <v>28</v>
      </c>
      <c r="X30" s="23">
        <f t="shared" si="11"/>
        <v>28</v>
      </c>
      <c r="Y30" s="23">
        <f t="shared" si="11"/>
        <v>40</v>
      </c>
      <c r="Z30" s="23">
        <f t="shared" si="11"/>
        <v>28</v>
      </c>
      <c r="AA30" s="23">
        <f t="shared" si="11"/>
        <v>32</v>
      </c>
      <c r="AB30" s="32">
        <f t="shared" si="11"/>
        <v>24</v>
      </c>
      <c r="AC30" s="23"/>
      <c r="AD30" s="23">
        <f>SUM(AD24:AD29)</f>
        <v>28</v>
      </c>
      <c r="AE30" s="23">
        <f>SUM(AE24:AE29)</f>
        <v>39</v>
      </c>
      <c r="AF30" s="23">
        <f t="shared" ref="AF30" si="12">SUM(AF24:AF29)</f>
        <v>39</v>
      </c>
      <c r="AG30" s="23">
        <f>SUM(AG24:AG29)</f>
        <v>39</v>
      </c>
      <c r="AH30" s="23">
        <f t="shared" ref="AH30:AI30" si="13">SUM(AH24:AH29)</f>
        <v>39</v>
      </c>
      <c r="AI30" s="23">
        <f t="shared" si="13"/>
        <v>29</v>
      </c>
      <c r="AJ30" s="19">
        <f>SUM(AJ24:AJ29)</f>
        <v>24</v>
      </c>
      <c r="AK30" s="23"/>
      <c r="AL30" s="23">
        <f>SUM(AL24:AL29)</f>
        <v>40</v>
      </c>
      <c r="AM30" s="23"/>
      <c r="AN30" s="33">
        <f>SUM(AN24:AN29)</f>
        <v>6</v>
      </c>
      <c r="AO30" s="34"/>
    </row>
    <row r="31" spans="2:50" s="35" customFormat="1" ht="21" customHeight="1">
      <c r="AU31" s="36"/>
    </row>
    <row r="32" spans="2:50" s="35" customFormat="1">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7"/>
      <c r="AV32" s="36"/>
      <c r="AW32" s="36"/>
      <c r="AX32" s="36"/>
    </row>
    <row r="33" spans="2:50" s="35" customFormat="1" ht="14.25" customHeight="1">
      <c r="B33" s="463" t="s">
        <v>19</v>
      </c>
      <c r="C33" s="463"/>
      <c r="D33" s="463"/>
      <c r="E33" s="463"/>
      <c r="F33" s="463"/>
      <c r="G33" s="463"/>
      <c r="H33" s="463"/>
      <c r="I33" s="463"/>
      <c r="J33" s="463"/>
      <c r="K33" s="463"/>
      <c r="L33" s="463"/>
      <c r="M33" s="463"/>
      <c r="N33" s="463"/>
      <c r="O33" s="463"/>
      <c r="P33" s="463"/>
      <c r="Q33" s="463"/>
      <c r="R33" s="463"/>
      <c r="S33" s="463"/>
      <c r="T33" s="463"/>
      <c r="U33" s="463"/>
      <c r="V33" s="463"/>
      <c r="W33" s="463"/>
      <c r="X33" s="463"/>
      <c r="Y33" s="463"/>
      <c r="Z33" s="463"/>
      <c r="AA33" s="463"/>
      <c r="AB33" s="463"/>
      <c r="AC33" s="463"/>
      <c r="AD33" s="463"/>
      <c r="AE33" s="463"/>
      <c r="AF33" s="463"/>
      <c r="AG33" s="463"/>
      <c r="AH33" s="463"/>
      <c r="AI33" s="463"/>
      <c r="AJ33" s="463"/>
      <c r="AK33" s="463"/>
      <c r="AL33" s="463"/>
      <c r="AM33" s="463"/>
      <c r="AN33" s="463"/>
      <c r="AO33" s="463"/>
      <c r="AP33" s="79"/>
      <c r="AQ33" s="79"/>
      <c r="AR33" s="79"/>
      <c r="AS33" s="79"/>
      <c r="AT33" s="79"/>
      <c r="AU33" s="37"/>
      <c r="AV33" s="37"/>
      <c r="AW33" s="37"/>
      <c r="AX33" s="37"/>
    </row>
    <row r="34" spans="2:50" s="35" customFormat="1" ht="14.25" customHeight="1">
      <c r="B34" s="463"/>
      <c r="C34" s="463"/>
      <c r="D34" s="463"/>
      <c r="E34" s="463"/>
      <c r="F34" s="463"/>
      <c r="G34" s="463"/>
      <c r="H34" s="463"/>
      <c r="I34" s="463"/>
      <c r="J34" s="463"/>
      <c r="K34" s="463"/>
      <c r="L34" s="463"/>
      <c r="M34" s="463"/>
      <c r="N34" s="463"/>
      <c r="O34" s="463"/>
      <c r="P34" s="463"/>
      <c r="Q34" s="463"/>
      <c r="R34" s="463"/>
      <c r="S34" s="463"/>
      <c r="T34" s="463"/>
      <c r="U34" s="463"/>
      <c r="V34" s="463"/>
      <c r="W34" s="463"/>
      <c r="X34" s="463"/>
      <c r="Y34" s="463"/>
      <c r="Z34" s="463"/>
      <c r="AA34" s="463"/>
      <c r="AB34" s="463"/>
      <c r="AC34" s="463"/>
      <c r="AD34" s="463"/>
      <c r="AE34" s="463"/>
      <c r="AF34" s="463"/>
      <c r="AG34" s="463"/>
      <c r="AH34" s="463"/>
      <c r="AI34" s="463"/>
      <c r="AJ34" s="463"/>
      <c r="AK34" s="463"/>
      <c r="AL34" s="463"/>
      <c r="AM34" s="463"/>
      <c r="AN34" s="463"/>
      <c r="AO34" s="463"/>
      <c r="AP34" s="79"/>
      <c r="AQ34" s="79"/>
      <c r="AR34" s="79"/>
      <c r="AS34" s="79"/>
      <c r="AT34" s="79"/>
      <c r="AU34" s="37"/>
      <c r="AV34" s="37"/>
      <c r="AW34" s="37"/>
      <c r="AX34" s="37"/>
    </row>
    <row r="35" spans="2:50" s="35" customFormat="1" ht="19.5" customHeight="1">
      <c r="B35" s="463"/>
      <c r="C35" s="463"/>
      <c r="D35" s="463"/>
      <c r="E35" s="463"/>
      <c r="F35" s="463"/>
      <c r="G35" s="463"/>
      <c r="H35" s="463"/>
      <c r="I35" s="463"/>
      <c r="J35" s="463"/>
      <c r="K35" s="463"/>
      <c r="L35" s="463"/>
      <c r="M35" s="463"/>
      <c r="N35" s="463"/>
      <c r="O35" s="463"/>
      <c r="P35" s="463"/>
      <c r="Q35" s="463"/>
      <c r="R35" s="463"/>
      <c r="S35" s="463"/>
      <c r="T35" s="463"/>
      <c r="U35" s="463"/>
      <c r="V35" s="463"/>
      <c r="W35" s="463"/>
      <c r="X35" s="463"/>
      <c r="Y35" s="463"/>
      <c r="Z35" s="463"/>
      <c r="AA35" s="463"/>
      <c r="AB35" s="463"/>
      <c r="AC35" s="463"/>
      <c r="AD35" s="463"/>
      <c r="AE35" s="463"/>
      <c r="AF35" s="463"/>
      <c r="AG35" s="463"/>
      <c r="AH35" s="463"/>
      <c r="AI35" s="463"/>
      <c r="AJ35" s="463"/>
      <c r="AK35" s="463"/>
      <c r="AL35" s="463"/>
      <c r="AM35" s="463"/>
      <c r="AN35" s="463"/>
      <c r="AO35" s="463"/>
      <c r="AP35" s="79"/>
      <c r="AQ35" s="79"/>
      <c r="AR35" s="79"/>
      <c r="AS35" s="79"/>
      <c r="AT35" s="79"/>
      <c r="AU35" s="38"/>
      <c r="AV35" s="37"/>
      <c r="AW35" s="37"/>
      <c r="AX35" s="37"/>
    </row>
    <row r="36" spans="2:50" s="35" customFormat="1" ht="14.15" customHeight="1">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9"/>
      <c r="AV36" s="38"/>
      <c r="AW36" s="38"/>
      <c r="AX36" s="38"/>
    </row>
    <row r="37" spans="2:50" s="35" customFormat="1" ht="14.15" customHeight="1">
      <c r="B37" s="38"/>
      <c r="C37" s="38"/>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40"/>
      <c r="AV37" s="39"/>
      <c r="AW37" s="39"/>
      <c r="AX37" s="39"/>
    </row>
    <row r="38" spans="2:50" s="35" customFormat="1" ht="14.15" customHeight="1">
      <c r="B38" s="41"/>
      <c r="C38" s="41"/>
      <c r="D38" s="39"/>
      <c r="E38" s="39"/>
      <c r="F38" s="39"/>
      <c r="G38" s="39"/>
      <c r="H38" s="39"/>
      <c r="I38" s="3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42"/>
      <c r="AV38" s="39"/>
      <c r="AW38" s="39"/>
      <c r="AX38" s="39"/>
    </row>
    <row r="39" spans="2:50" s="35" customFormat="1" ht="19.399999999999999" customHeight="1">
      <c r="B39" s="41"/>
      <c r="C39" s="41"/>
      <c r="D39" s="468" t="s">
        <v>20</v>
      </c>
      <c r="E39" s="469"/>
      <c r="F39" s="469"/>
      <c r="G39" s="469"/>
      <c r="H39" s="469"/>
      <c r="I39" s="469"/>
      <c r="J39" s="469"/>
      <c r="K39" s="469"/>
      <c r="L39" s="469"/>
      <c r="M39" s="469"/>
      <c r="N39" s="469"/>
      <c r="O39" s="469"/>
      <c r="P39" s="469"/>
      <c r="Q39" s="469"/>
      <c r="R39" s="469"/>
      <c r="S39" s="469"/>
      <c r="T39" s="469"/>
      <c r="U39" s="469"/>
      <c r="V39" s="470"/>
      <c r="W39" s="39"/>
      <c r="X39" s="39"/>
      <c r="Y39" s="39"/>
      <c r="Z39" s="43"/>
      <c r="AA39" s="43"/>
      <c r="AB39" s="43"/>
      <c r="AC39" s="462"/>
      <c r="AD39" s="462"/>
      <c r="AE39" s="462"/>
      <c r="AF39" s="462"/>
      <c r="AG39" s="462"/>
      <c r="AH39" s="462"/>
      <c r="AI39" s="462"/>
      <c r="AJ39" s="462"/>
      <c r="AK39" s="42"/>
      <c r="AL39" s="42"/>
      <c r="AM39" s="42"/>
      <c r="AN39" s="42"/>
      <c r="AO39" s="42"/>
      <c r="AP39" s="42"/>
      <c r="AQ39" s="42"/>
      <c r="AR39" s="42"/>
      <c r="AS39" s="42"/>
      <c r="AT39" s="42"/>
      <c r="AU39" s="42"/>
      <c r="AV39" s="43"/>
      <c r="AW39" s="43"/>
      <c r="AX39" s="43"/>
    </row>
    <row r="40" spans="2:50" s="35" customFormat="1" ht="29.5" customHeight="1">
      <c r="B40" s="41"/>
      <c r="C40" s="41"/>
      <c r="D40" s="461" t="s">
        <v>21</v>
      </c>
      <c r="E40" s="461"/>
      <c r="F40" s="461"/>
      <c r="G40" s="461"/>
      <c r="H40" s="461"/>
      <c r="I40" s="461"/>
      <c r="J40" s="461"/>
      <c r="K40" s="461"/>
      <c r="L40" s="461"/>
      <c r="M40" s="460" t="s">
        <v>22</v>
      </c>
      <c r="N40" s="460"/>
      <c r="O40" s="460" t="s">
        <v>23</v>
      </c>
      <c r="P40" s="460"/>
      <c r="Q40" s="460" t="s">
        <v>24</v>
      </c>
      <c r="R40" s="460"/>
      <c r="S40" s="460" t="s">
        <v>23</v>
      </c>
      <c r="T40" s="460"/>
      <c r="U40" s="461" t="s">
        <v>25</v>
      </c>
      <c r="V40" s="461"/>
      <c r="W40" s="39"/>
      <c r="X40" s="39"/>
      <c r="Y40" s="39"/>
      <c r="Z40" s="43"/>
      <c r="AA40" s="43"/>
      <c r="AB40" s="43"/>
      <c r="AC40" s="462"/>
      <c r="AD40" s="462"/>
      <c r="AE40" s="462"/>
      <c r="AF40" s="462"/>
      <c r="AG40" s="462"/>
      <c r="AH40" s="462"/>
      <c r="AI40" s="462"/>
      <c r="AJ40" s="462"/>
      <c r="AK40" s="43"/>
      <c r="AL40" s="43"/>
      <c r="AM40" s="43"/>
      <c r="AN40" s="43"/>
      <c r="AO40" s="43"/>
      <c r="AP40" s="43"/>
      <c r="AQ40" s="43"/>
      <c r="AR40" s="43"/>
      <c r="AS40" s="43"/>
      <c r="AT40" s="43"/>
      <c r="AU40" s="43"/>
      <c r="AV40" s="43"/>
      <c r="AW40" s="43"/>
      <c r="AX40" s="43"/>
    </row>
    <row r="41" spans="2:50" s="35" customFormat="1" ht="14.25" customHeight="1">
      <c r="B41" s="41"/>
      <c r="C41" s="41"/>
      <c r="D41" s="44" t="s">
        <v>13</v>
      </c>
      <c r="E41" s="465" t="s">
        <v>26</v>
      </c>
      <c r="F41" s="465"/>
      <c r="G41" s="465"/>
      <c r="H41" s="465"/>
      <c r="I41" s="465"/>
      <c r="J41" s="465"/>
      <c r="K41" s="465"/>
      <c r="L41" s="465"/>
      <c r="M41" s="466">
        <v>0.29166666666666702</v>
      </c>
      <c r="N41" s="466"/>
      <c r="O41" s="466">
        <v>0.79166666666666696</v>
      </c>
      <c r="P41" s="466"/>
      <c r="Q41" s="466"/>
      <c r="R41" s="466"/>
      <c r="S41" s="466"/>
      <c r="T41" s="466"/>
      <c r="U41" s="464">
        <v>12</v>
      </c>
      <c r="V41" s="464"/>
      <c r="W41" s="45"/>
      <c r="X41" s="45"/>
      <c r="Y41" s="45"/>
      <c r="Z41" s="43"/>
      <c r="AA41" s="43"/>
      <c r="AB41" s="43"/>
      <c r="AC41" s="462"/>
      <c r="AD41" s="462"/>
      <c r="AE41" s="462"/>
      <c r="AF41" s="462"/>
      <c r="AG41" s="462"/>
      <c r="AH41" s="462"/>
      <c r="AI41" s="462"/>
      <c r="AJ41" s="462"/>
      <c r="AK41" s="43"/>
      <c r="AL41" s="43"/>
      <c r="AM41" s="43"/>
      <c r="AN41" s="43"/>
      <c r="AO41" s="43"/>
      <c r="AP41" s="43"/>
      <c r="AQ41" s="43"/>
      <c r="AR41" s="43"/>
      <c r="AS41" s="43"/>
      <c r="AT41" s="43"/>
      <c r="AU41" s="15"/>
      <c r="AV41" s="43"/>
      <c r="AW41" s="43"/>
      <c r="AX41" s="43"/>
    </row>
    <row r="42" spans="2:50" s="35" customFormat="1" ht="14.25" customHeight="1">
      <c r="B42" s="41"/>
      <c r="C42" s="41"/>
      <c r="D42" s="44" t="s">
        <v>40</v>
      </c>
      <c r="E42" s="465" t="s">
        <v>39</v>
      </c>
      <c r="F42" s="465"/>
      <c r="G42" s="465"/>
      <c r="H42" s="465"/>
      <c r="I42" s="465"/>
      <c r="J42" s="465"/>
      <c r="K42" s="465"/>
      <c r="L42" s="465"/>
      <c r="M42" s="466">
        <v>0.79166666666666696</v>
      </c>
      <c r="N42" s="466"/>
      <c r="O42" s="466">
        <v>0.29166666666666702</v>
      </c>
      <c r="P42" s="466"/>
      <c r="Q42" s="467"/>
      <c r="R42" s="467"/>
      <c r="S42" s="467"/>
      <c r="T42" s="467"/>
      <c r="U42" s="464">
        <v>12</v>
      </c>
      <c r="V42" s="464"/>
      <c r="W42" s="45"/>
      <c r="X42" s="45"/>
      <c r="Y42" s="45"/>
      <c r="Z42" s="46"/>
      <c r="AA42" s="15"/>
      <c r="AB42" s="15"/>
      <c r="AC42" s="462"/>
      <c r="AD42" s="462"/>
      <c r="AE42" s="462"/>
      <c r="AF42" s="462"/>
      <c r="AG42" s="462"/>
      <c r="AH42" s="462"/>
      <c r="AI42" s="462"/>
      <c r="AJ42" s="462"/>
      <c r="AK42" s="15"/>
      <c r="AL42" s="47"/>
      <c r="AM42" s="47"/>
      <c r="AN42" s="15"/>
      <c r="AO42" s="47"/>
      <c r="AP42" s="15"/>
      <c r="AQ42" s="15"/>
      <c r="AR42" s="15"/>
      <c r="AS42" s="15"/>
      <c r="AT42" s="15"/>
      <c r="AU42" s="15"/>
      <c r="AV42" s="15"/>
      <c r="AW42" s="15"/>
      <c r="AX42" s="15"/>
    </row>
    <row r="43" spans="2:50" s="35" customFormat="1" ht="14.25" customHeight="1">
      <c r="B43" s="41"/>
      <c r="C43" s="41"/>
      <c r="D43" s="48" t="s">
        <v>17</v>
      </c>
      <c r="E43" s="472" t="s">
        <v>27</v>
      </c>
      <c r="F43" s="472"/>
      <c r="G43" s="472"/>
      <c r="H43" s="472"/>
      <c r="I43" s="472"/>
      <c r="J43" s="472"/>
      <c r="K43" s="472"/>
      <c r="L43" s="472"/>
      <c r="M43" s="473">
        <v>0.29166666666666669</v>
      </c>
      <c r="N43" s="474"/>
      <c r="O43" s="475">
        <v>0.5</v>
      </c>
      <c r="P43" s="476"/>
      <c r="Q43" s="475">
        <v>0.54166666666666696</v>
      </c>
      <c r="R43" s="476"/>
      <c r="S43" s="475">
        <v>0.66666666666666663</v>
      </c>
      <c r="T43" s="476"/>
      <c r="U43" s="471">
        <v>8</v>
      </c>
      <c r="V43" s="471"/>
      <c r="W43" s="45"/>
      <c r="X43" s="45"/>
      <c r="Y43" s="45"/>
      <c r="Z43" s="46"/>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row>
    <row r="44" spans="2:50" s="35" customFormat="1" ht="14.25" customHeight="1">
      <c r="B44" s="41"/>
      <c r="C44" s="41"/>
      <c r="D44" s="48" t="s">
        <v>33</v>
      </c>
      <c r="E44" s="472" t="s">
        <v>27</v>
      </c>
      <c r="F44" s="472"/>
      <c r="G44" s="472"/>
      <c r="H44" s="472"/>
      <c r="I44" s="472"/>
      <c r="J44" s="472"/>
      <c r="K44" s="472"/>
      <c r="L44" s="472"/>
      <c r="M44" s="473">
        <v>0.33333333333333331</v>
      </c>
      <c r="N44" s="474"/>
      <c r="O44" s="475">
        <v>0.5</v>
      </c>
      <c r="P44" s="476"/>
      <c r="Q44" s="475">
        <v>0.54166666666666696</v>
      </c>
      <c r="R44" s="476"/>
      <c r="S44" s="475">
        <v>0.70833333333333304</v>
      </c>
      <c r="T44" s="476"/>
      <c r="U44" s="471">
        <v>8</v>
      </c>
      <c r="V44" s="471"/>
      <c r="W44" s="45"/>
      <c r="X44" s="45"/>
      <c r="Y44" s="45"/>
      <c r="Z44" s="46"/>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row>
    <row r="45" spans="2:50" s="35" customFormat="1" ht="14.25" customHeight="1">
      <c r="B45" s="41"/>
      <c r="C45" s="41"/>
      <c r="D45" s="44" t="s">
        <v>32</v>
      </c>
      <c r="E45" s="465" t="s">
        <v>27</v>
      </c>
      <c r="F45" s="465"/>
      <c r="G45" s="465"/>
      <c r="H45" s="465"/>
      <c r="I45" s="465"/>
      <c r="J45" s="465"/>
      <c r="K45" s="465"/>
      <c r="L45" s="465"/>
      <c r="M45" s="466">
        <v>0.33333333333333331</v>
      </c>
      <c r="N45" s="466"/>
      <c r="O45" s="466">
        <v>0.79166666666666696</v>
      </c>
      <c r="P45" s="466"/>
      <c r="Q45" s="466"/>
      <c r="R45" s="466"/>
      <c r="S45" s="466"/>
      <c r="T45" s="466"/>
      <c r="U45" s="464">
        <v>11</v>
      </c>
      <c r="V45" s="464"/>
      <c r="W45" s="45"/>
      <c r="X45" s="49"/>
      <c r="Y45" s="49"/>
      <c r="Z45" s="46"/>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row>
    <row r="46" spans="2:50" s="35" customFormat="1" ht="14.25" customHeight="1">
      <c r="B46" s="41"/>
      <c r="C46" s="41"/>
      <c r="D46" s="44" t="s">
        <v>38</v>
      </c>
      <c r="E46" s="478" t="s">
        <v>27</v>
      </c>
      <c r="F46" s="478"/>
      <c r="G46" s="478"/>
      <c r="H46" s="478"/>
      <c r="I46" s="478"/>
      <c r="J46" s="478"/>
      <c r="K46" s="478"/>
      <c r="L46" s="478"/>
      <c r="M46" s="479">
        <v>0.375</v>
      </c>
      <c r="N46" s="480"/>
      <c r="O46" s="481">
        <v>0.5</v>
      </c>
      <c r="P46" s="482"/>
      <c r="Q46" s="481">
        <v>0.54166666666666696</v>
      </c>
      <c r="R46" s="482"/>
      <c r="S46" s="483">
        <v>0.625</v>
      </c>
      <c r="T46" s="483"/>
      <c r="U46" s="471">
        <v>5</v>
      </c>
      <c r="V46" s="471"/>
      <c r="W46" s="45"/>
      <c r="X46" s="49"/>
      <c r="Y46" s="49"/>
      <c r="Z46" s="46"/>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row>
    <row r="47" spans="2:50" s="35" customFormat="1">
      <c r="B47" s="41"/>
      <c r="C47" s="41"/>
      <c r="D47" s="44" t="s">
        <v>37</v>
      </c>
      <c r="E47" s="478" t="s">
        <v>27</v>
      </c>
      <c r="F47" s="478"/>
      <c r="G47" s="478"/>
      <c r="H47" s="478"/>
      <c r="I47" s="478"/>
      <c r="J47" s="478"/>
      <c r="K47" s="478"/>
      <c r="L47" s="478"/>
      <c r="M47" s="479">
        <v>0.33333333333333331</v>
      </c>
      <c r="N47" s="480"/>
      <c r="O47" s="481">
        <v>0.5</v>
      </c>
      <c r="P47" s="482"/>
      <c r="Q47" s="481">
        <v>0.54166666666666696</v>
      </c>
      <c r="R47" s="482"/>
      <c r="S47" s="483">
        <v>0.66666666666666663</v>
      </c>
      <c r="T47" s="483"/>
      <c r="U47" s="471">
        <v>7</v>
      </c>
      <c r="V47" s="471"/>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row>
    <row r="48" spans="2:50" s="35" customFormat="1">
      <c r="B48" s="41"/>
      <c r="C48" s="41"/>
      <c r="D48" s="44" t="s">
        <v>61</v>
      </c>
      <c r="E48" s="490" t="s">
        <v>36</v>
      </c>
      <c r="F48" s="491"/>
      <c r="G48" s="491"/>
      <c r="H48" s="491"/>
      <c r="I48" s="491"/>
      <c r="J48" s="491"/>
      <c r="K48" s="491"/>
      <c r="L48" s="492"/>
      <c r="M48" s="479">
        <v>0.33333333333333298</v>
      </c>
      <c r="N48" s="480"/>
      <c r="O48" s="481">
        <v>0.54166666666666663</v>
      </c>
      <c r="P48" s="482"/>
      <c r="Q48" s="481"/>
      <c r="R48" s="482"/>
      <c r="S48" s="481"/>
      <c r="T48" s="482"/>
      <c r="U48" s="484">
        <v>5</v>
      </c>
      <c r="V48" s="485"/>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row>
    <row r="49" spans="1:50" s="35" customFormat="1">
      <c r="B49" s="41"/>
      <c r="C49" s="41"/>
      <c r="D49" s="48" t="s">
        <v>8</v>
      </c>
      <c r="E49" s="472" t="s">
        <v>28</v>
      </c>
      <c r="F49" s="472"/>
      <c r="G49" s="472"/>
      <c r="H49" s="472"/>
      <c r="I49" s="472"/>
      <c r="J49" s="472"/>
      <c r="K49" s="472"/>
      <c r="L49" s="472"/>
      <c r="M49" s="472"/>
      <c r="N49" s="472"/>
      <c r="O49" s="472"/>
      <c r="P49" s="472"/>
      <c r="Q49" s="472"/>
      <c r="R49" s="472"/>
      <c r="S49" s="472"/>
      <c r="T49" s="472"/>
      <c r="U49" s="471">
        <v>0</v>
      </c>
      <c r="V49" s="471"/>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13"/>
      <c r="AV49" s="50"/>
      <c r="AW49" s="50"/>
      <c r="AX49" s="50"/>
    </row>
    <row r="50" spans="1:50" s="35" customFormat="1">
      <c r="B50" s="41"/>
      <c r="C50" s="41"/>
      <c r="D50" s="51" t="s">
        <v>15</v>
      </c>
      <c r="E50" s="486" t="s">
        <v>29</v>
      </c>
      <c r="F50" s="487"/>
      <c r="G50" s="487"/>
      <c r="H50" s="487"/>
      <c r="I50" s="487"/>
      <c r="J50" s="487"/>
      <c r="K50" s="487"/>
      <c r="L50" s="487"/>
      <c r="M50" s="487"/>
      <c r="N50" s="487"/>
      <c r="O50" s="487"/>
      <c r="P50" s="487"/>
      <c r="Q50" s="487"/>
      <c r="R50" s="487"/>
      <c r="S50" s="487"/>
      <c r="T50" s="488"/>
      <c r="U50" s="489">
        <v>1</v>
      </c>
      <c r="V50" s="489"/>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13"/>
      <c r="AV50" s="50"/>
      <c r="AW50" s="50"/>
      <c r="AX50" s="50"/>
    </row>
    <row r="51" spans="1:50" s="35" customFormat="1">
      <c r="B51" s="41"/>
      <c r="C51" s="41"/>
      <c r="D51" s="52"/>
      <c r="E51" s="53"/>
      <c r="F51" s="53"/>
      <c r="G51" s="53"/>
      <c r="H51" s="53"/>
      <c r="I51" s="53"/>
      <c r="J51" s="53"/>
      <c r="K51" s="53"/>
      <c r="L51" s="53"/>
      <c r="M51" s="53"/>
      <c r="N51" s="53"/>
      <c r="O51" s="53"/>
      <c r="P51" s="53"/>
      <c r="Q51" s="53"/>
      <c r="R51" s="53"/>
      <c r="S51" s="53"/>
      <c r="T51" s="53"/>
      <c r="U51" s="54"/>
      <c r="V51" s="54"/>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13"/>
      <c r="AV51" s="50"/>
      <c r="AW51" s="50"/>
      <c r="AX51" s="50"/>
    </row>
    <row r="52" spans="1:50" s="35" customFormat="1">
      <c r="B52" s="41"/>
      <c r="C52" s="41"/>
      <c r="D52" s="52"/>
      <c r="E52" s="53"/>
      <c r="F52" s="53"/>
      <c r="G52" s="53"/>
      <c r="H52" s="53"/>
      <c r="I52" s="53"/>
      <c r="J52" s="53"/>
      <c r="K52" s="53"/>
      <c r="L52" s="53"/>
      <c r="M52" s="53"/>
      <c r="N52" s="53"/>
      <c r="O52" s="53"/>
      <c r="P52" s="53"/>
      <c r="Q52" s="53"/>
      <c r="R52" s="53"/>
      <c r="S52" s="53"/>
      <c r="T52" s="53"/>
      <c r="U52" s="54"/>
      <c r="V52" s="54"/>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13"/>
      <c r="AV52" s="50"/>
      <c r="AW52" s="50"/>
      <c r="AX52" s="50"/>
    </row>
    <row r="53" spans="1:50" s="35" customFormat="1">
      <c r="B53" s="41"/>
      <c r="C53" s="41"/>
      <c r="D53" s="52"/>
      <c r="E53" s="53"/>
      <c r="F53" s="53"/>
      <c r="G53" s="53"/>
      <c r="H53" s="53"/>
      <c r="I53" s="53"/>
      <c r="J53" s="53"/>
      <c r="K53" s="53"/>
      <c r="L53" s="53"/>
      <c r="M53" s="53"/>
      <c r="N53" s="53"/>
      <c r="O53" s="53"/>
      <c r="P53" s="53"/>
      <c r="Q53" s="53"/>
      <c r="R53" s="53"/>
      <c r="S53" s="53"/>
      <c r="T53" s="53"/>
      <c r="U53" s="54"/>
      <c r="V53" s="54"/>
      <c r="W53" s="50"/>
      <c r="X53" s="50"/>
      <c r="Y53" s="50"/>
      <c r="Z53" s="50"/>
      <c r="AA53" s="50"/>
      <c r="AB53" s="50"/>
      <c r="AC53" s="50"/>
      <c r="AD53" s="50"/>
      <c r="AE53" s="50"/>
      <c r="AF53" s="50"/>
      <c r="AG53" s="50"/>
      <c r="AH53" s="50"/>
      <c r="AI53" s="50"/>
      <c r="AJ53" s="50"/>
      <c r="AK53" s="50"/>
      <c r="AL53" s="50"/>
      <c r="AM53" s="50"/>
      <c r="AN53" s="50"/>
      <c r="AO53" s="50"/>
      <c r="AP53" s="50"/>
      <c r="AQ53" s="50"/>
      <c r="AR53" s="50"/>
      <c r="AS53" s="50"/>
      <c r="AT53" s="50"/>
      <c r="AU53" s="13"/>
      <c r="AV53" s="50"/>
      <c r="AW53" s="50"/>
      <c r="AX53" s="50"/>
    </row>
    <row r="54" spans="1:50" s="35" customFormat="1">
      <c r="D54" s="52"/>
      <c r="E54" s="53"/>
      <c r="F54" s="53"/>
      <c r="G54" s="53"/>
      <c r="H54" s="53"/>
      <c r="I54" s="53"/>
      <c r="J54" s="53"/>
      <c r="K54" s="53"/>
      <c r="L54" s="53"/>
      <c r="M54" s="53"/>
      <c r="N54" s="53"/>
      <c r="O54" s="53"/>
      <c r="P54" s="53"/>
      <c r="Q54" s="53"/>
      <c r="R54" s="53"/>
      <c r="S54" s="53"/>
      <c r="T54" s="53"/>
      <c r="U54" s="54"/>
      <c r="V54" s="50"/>
      <c r="W54" s="16"/>
      <c r="AP54" s="55"/>
      <c r="AQ54" s="55"/>
      <c r="AR54" s="55"/>
      <c r="AS54" s="55"/>
      <c r="AT54" s="55"/>
      <c r="AU54" s="13"/>
      <c r="AV54" s="1"/>
      <c r="AW54" s="16"/>
      <c r="AX54" s="50"/>
    </row>
    <row r="55" spans="1:50" s="35" customFormat="1">
      <c r="B55" s="56"/>
      <c r="C55" s="56"/>
      <c r="E55" s="53"/>
      <c r="F55" s="53"/>
      <c r="G55" s="53"/>
      <c r="H55" s="53"/>
      <c r="I55" s="53"/>
      <c r="J55" s="53"/>
      <c r="K55" s="53"/>
      <c r="L55" s="53"/>
      <c r="M55" s="53"/>
      <c r="N55" s="53"/>
      <c r="O55" s="53"/>
      <c r="P55" s="53"/>
      <c r="Q55" s="53"/>
      <c r="R55" s="53"/>
      <c r="S55" s="53"/>
      <c r="T55" s="53"/>
      <c r="U55" s="54"/>
      <c r="V55" s="50"/>
      <c r="W55" s="57"/>
      <c r="X55" s="13"/>
      <c r="Y55" s="13"/>
      <c r="Z55" s="13"/>
      <c r="AA55" s="13"/>
      <c r="AB55" s="13"/>
      <c r="AC55" s="13"/>
      <c r="AD55" s="13"/>
      <c r="AE55" s="13"/>
      <c r="AF55" s="13"/>
      <c r="AG55" s="13"/>
      <c r="AH55" s="13"/>
      <c r="AI55" s="13"/>
      <c r="AJ55" s="13"/>
      <c r="AK55" s="13"/>
      <c r="AL55" s="13"/>
      <c r="AM55" s="13"/>
      <c r="AN55" s="13"/>
      <c r="AO55" s="13"/>
      <c r="AP55" s="55"/>
      <c r="AQ55" s="55"/>
      <c r="AR55" s="55"/>
      <c r="AS55" s="55"/>
      <c r="AT55" s="55"/>
      <c r="AU55" s="13"/>
      <c r="AV55" s="1"/>
      <c r="AW55" s="16"/>
      <c r="AX55" s="58"/>
    </row>
    <row r="56" spans="1:50" ht="18.5">
      <c r="A56" s="35"/>
      <c r="B56" s="59"/>
      <c r="C56" s="60"/>
      <c r="D56" s="52"/>
      <c r="E56" s="53"/>
      <c r="F56" s="53"/>
      <c r="G56" s="53"/>
      <c r="H56" s="62"/>
      <c r="I56" s="62"/>
      <c r="J56" s="62"/>
      <c r="K56" s="62"/>
      <c r="L56" s="62"/>
      <c r="M56" s="62"/>
      <c r="N56" s="62"/>
      <c r="O56" s="62"/>
      <c r="P56" s="61"/>
      <c r="Q56" s="53"/>
      <c r="R56" s="53"/>
      <c r="S56" s="16"/>
      <c r="T56" s="16"/>
      <c r="U56" s="16"/>
      <c r="V56" s="16"/>
      <c r="W56" s="57"/>
      <c r="X56" s="63"/>
      <c r="Y56" s="63"/>
      <c r="Z56" s="63"/>
      <c r="AA56" s="63"/>
      <c r="AB56" s="63"/>
      <c r="AC56" s="63"/>
      <c r="AD56" s="63"/>
      <c r="AE56" s="63"/>
      <c r="AF56" s="63"/>
      <c r="AG56" s="63"/>
      <c r="AH56" s="63"/>
      <c r="AP56" s="64"/>
      <c r="AQ56" s="64"/>
      <c r="AR56" s="64"/>
      <c r="AS56" s="64"/>
      <c r="AT56" s="64"/>
      <c r="AV56" s="1"/>
      <c r="AW56" s="16"/>
      <c r="AX56" s="58"/>
    </row>
    <row r="57" spans="1:50" s="58" customFormat="1" ht="38.5" customHeight="1">
      <c r="A57" s="55"/>
      <c r="B57" s="65" t="s">
        <v>30</v>
      </c>
      <c r="C57" s="65"/>
      <c r="D57" s="52"/>
      <c r="E57" s="53"/>
      <c r="F57" s="53"/>
      <c r="G57" s="61"/>
      <c r="H57" s="67" t="s">
        <v>35</v>
      </c>
      <c r="I57" s="67"/>
      <c r="J57" s="66"/>
      <c r="K57" s="66"/>
      <c r="L57" s="66"/>
      <c r="M57" s="66"/>
      <c r="N57" s="66"/>
      <c r="O57" s="61"/>
      <c r="P57" s="61"/>
      <c r="Q57" s="61"/>
      <c r="R57" s="61"/>
      <c r="S57" s="57"/>
      <c r="T57" s="57"/>
      <c r="U57" s="57"/>
      <c r="V57" s="57"/>
      <c r="W57" s="56"/>
      <c r="X57" s="477" t="s">
        <v>100</v>
      </c>
      <c r="Y57" s="477"/>
      <c r="Z57" s="477"/>
      <c r="AA57" s="477"/>
      <c r="AB57" s="477"/>
      <c r="AC57" s="477"/>
      <c r="AD57" s="477"/>
      <c r="AE57" s="477"/>
      <c r="AF57" s="477"/>
      <c r="AG57" s="477"/>
      <c r="AH57" s="477"/>
      <c r="AI57" s="64"/>
      <c r="AJ57" s="64"/>
      <c r="AK57" s="64"/>
      <c r="AL57" s="64"/>
      <c r="AM57" s="64"/>
      <c r="AN57" s="64"/>
      <c r="AO57" s="64"/>
      <c r="AP57" s="68"/>
      <c r="AQ57" s="68"/>
      <c r="AR57" s="68"/>
      <c r="AS57" s="68"/>
      <c r="AT57" s="68"/>
      <c r="AU57" s="13"/>
      <c r="AV57" s="1"/>
      <c r="AW57" s="16"/>
    </row>
    <row r="58" spans="1:50" s="70" customFormat="1" ht="18.5">
      <c r="A58" s="55"/>
      <c r="B58" s="69" t="s">
        <v>31</v>
      </c>
      <c r="C58" s="69"/>
      <c r="D58" s="52"/>
      <c r="E58" s="55"/>
      <c r="F58" s="55"/>
      <c r="G58" s="66"/>
      <c r="H58" s="61"/>
      <c r="I58" s="61"/>
      <c r="J58" s="69" t="s">
        <v>34</v>
      </c>
      <c r="K58" s="61"/>
      <c r="L58" s="61"/>
      <c r="M58" s="66"/>
      <c r="N58" s="66"/>
      <c r="O58" s="61"/>
      <c r="P58" s="61"/>
      <c r="Q58" s="61"/>
      <c r="R58" s="61"/>
      <c r="S58" s="57"/>
      <c r="T58" s="57"/>
      <c r="U58" s="57"/>
      <c r="V58" s="57"/>
      <c r="X58" s="71" t="s">
        <v>99</v>
      </c>
      <c r="Y58" s="72"/>
      <c r="Z58" s="72"/>
      <c r="AA58" s="72"/>
      <c r="AB58" s="72"/>
      <c r="AC58" s="72"/>
      <c r="AD58" s="72"/>
      <c r="AE58" s="72"/>
      <c r="AF58" s="72"/>
      <c r="AG58" s="72"/>
      <c r="AH58" s="72"/>
      <c r="AI58" s="72"/>
      <c r="AJ58" s="72"/>
      <c r="AK58" s="72"/>
      <c r="AL58" s="72"/>
      <c r="AM58" s="72"/>
      <c r="AN58" s="72"/>
      <c r="AO58" s="72"/>
      <c r="AP58" s="73"/>
      <c r="AQ58" s="73"/>
      <c r="AR58" s="73"/>
      <c r="AS58" s="73"/>
      <c r="AT58" s="73"/>
      <c r="AU58" s="73"/>
      <c r="AV58" s="73"/>
      <c r="AW58" s="16"/>
      <c r="AX58" s="58"/>
    </row>
    <row r="59" spans="1:50" s="70" customFormat="1">
      <c r="A59" s="55"/>
      <c r="B59" s="73"/>
      <c r="C59" s="73"/>
      <c r="D59" s="55"/>
      <c r="E59" s="55"/>
      <c r="F59" s="55"/>
      <c r="G59" s="61"/>
      <c r="Q59" s="61"/>
      <c r="R59" s="61"/>
      <c r="S59" s="56"/>
      <c r="T59" s="56"/>
      <c r="U59" s="58"/>
      <c r="V59" s="56"/>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13"/>
      <c r="AV59" s="73"/>
      <c r="AW59" s="16"/>
      <c r="AX59" s="58"/>
    </row>
    <row r="60" spans="1:50" s="58" customFormat="1">
      <c r="A60" s="55"/>
      <c r="B60" s="73"/>
      <c r="C60" s="73"/>
      <c r="D60" s="55"/>
      <c r="E60" s="55"/>
      <c r="F60" s="55"/>
      <c r="G60" s="73"/>
      <c r="H60" s="73"/>
      <c r="I60" s="73"/>
      <c r="J60" s="73"/>
      <c r="K60" s="73"/>
      <c r="L60" s="73"/>
      <c r="M60" s="73"/>
      <c r="N60" s="74"/>
      <c r="O60" s="74"/>
      <c r="P60" s="74"/>
      <c r="Q60" s="74"/>
      <c r="R60" s="73"/>
      <c r="S60" s="70"/>
      <c r="T60" s="70"/>
      <c r="U60" s="70"/>
      <c r="V60" s="70"/>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6"/>
    </row>
    <row r="61" spans="1:50">
      <c r="A61" s="55"/>
      <c r="B61" s="55"/>
      <c r="C61" s="55"/>
      <c r="D61" s="55"/>
      <c r="E61" s="55"/>
      <c r="F61" s="55"/>
      <c r="G61" s="73"/>
      <c r="H61" s="73"/>
      <c r="I61" s="73"/>
      <c r="J61" s="73"/>
      <c r="K61" s="73"/>
      <c r="L61" s="73"/>
      <c r="M61" s="73"/>
      <c r="N61" s="74"/>
      <c r="O61" s="74"/>
      <c r="P61" s="74"/>
      <c r="Q61" s="74"/>
      <c r="R61" s="73"/>
      <c r="S61" s="70"/>
      <c r="T61" s="70"/>
      <c r="U61" s="70"/>
      <c r="V61" s="70"/>
    </row>
    <row r="62" spans="1:50">
      <c r="D62" s="55"/>
      <c r="E62" s="55"/>
      <c r="F62" s="55"/>
      <c r="G62" s="73"/>
      <c r="H62" s="73"/>
      <c r="I62" s="73"/>
      <c r="J62" s="73"/>
      <c r="K62" s="73"/>
      <c r="L62" s="73"/>
      <c r="M62" s="73"/>
      <c r="N62" s="73"/>
      <c r="O62" s="73"/>
      <c r="P62" s="73"/>
      <c r="Q62" s="73"/>
      <c r="R62" s="73"/>
      <c r="S62" s="58"/>
      <c r="T62" s="58"/>
      <c r="U62" s="58"/>
      <c r="V62" s="58"/>
    </row>
    <row r="63" spans="1:50">
      <c r="D63" s="55"/>
      <c r="E63" s="55"/>
      <c r="F63" s="55"/>
      <c r="G63" s="73"/>
      <c r="H63" s="73"/>
      <c r="I63" s="73"/>
      <c r="J63" s="73"/>
      <c r="K63" s="73"/>
      <c r="L63" s="73"/>
      <c r="M63" s="73"/>
      <c r="N63" s="73"/>
      <c r="O63" s="73"/>
      <c r="P63" s="73"/>
      <c r="Q63" s="73"/>
      <c r="R63" s="73"/>
    </row>
    <row r="64" spans="1:50">
      <c r="D64" s="55"/>
    </row>
  </sheetData>
  <mergeCells count="84">
    <mergeCell ref="U50:V50"/>
    <mergeCell ref="E49:T49"/>
    <mergeCell ref="U49:V49"/>
    <mergeCell ref="E46:L46"/>
    <mergeCell ref="M46:N46"/>
    <mergeCell ref="O46:P46"/>
    <mergeCell ref="Q46:R46"/>
    <mergeCell ref="S46:T46"/>
    <mergeCell ref="E48:L48"/>
    <mergeCell ref="M48:N48"/>
    <mergeCell ref="O48:P48"/>
    <mergeCell ref="Q48:R48"/>
    <mergeCell ref="S48:T48"/>
    <mergeCell ref="X57:AH57"/>
    <mergeCell ref="U47:V47"/>
    <mergeCell ref="E45:L45"/>
    <mergeCell ref="M45:N45"/>
    <mergeCell ref="O45:P45"/>
    <mergeCell ref="Q45:R45"/>
    <mergeCell ref="S45:T45"/>
    <mergeCell ref="U45:V45"/>
    <mergeCell ref="E47:L47"/>
    <mergeCell ref="M47:N47"/>
    <mergeCell ref="O47:P47"/>
    <mergeCell ref="Q47:R47"/>
    <mergeCell ref="S47:T47"/>
    <mergeCell ref="U46:V46"/>
    <mergeCell ref="U48:V48"/>
    <mergeCell ref="E50:T50"/>
    <mergeCell ref="U44:V44"/>
    <mergeCell ref="E43:L43"/>
    <mergeCell ref="M43:N43"/>
    <mergeCell ref="O43:P43"/>
    <mergeCell ref="Q43:R43"/>
    <mergeCell ref="S43:T43"/>
    <mergeCell ref="U43:V43"/>
    <mergeCell ref="E44:L44"/>
    <mergeCell ref="M44:N44"/>
    <mergeCell ref="O44:P44"/>
    <mergeCell ref="Q44:R44"/>
    <mergeCell ref="S44:T44"/>
    <mergeCell ref="AC39:AJ42"/>
    <mergeCell ref="B33:AO35"/>
    <mergeCell ref="U42:V42"/>
    <mergeCell ref="E41:L41"/>
    <mergeCell ref="M41:N41"/>
    <mergeCell ref="O41:P41"/>
    <mergeCell ref="Q41:R41"/>
    <mergeCell ref="S41:T41"/>
    <mergeCell ref="U41:V41"/>
    <mergeCell ref="E42:L42"/>
    <mergeCell ref="M42:N42"/>
    <mergeCell ref="O42:P42"/>
    <mergeCell ref="Q42:R42"/>
    <mergeCell ref="S42:T42"/>
    <mergeCell ref="D39:V39"/>
    <mergeCell ref="D40:L40"/>
    <mergeCell ref="M40:N40"/>
    <mergeCell ref="O40:P40"/>
    <mergeCell ref="Q40:R40"/>
    <mergeCell ref="S40:T40"/>
    <mergeCell ref="U40:V40"/>
    <mergeCell ref="B21:AO21"/>
    <mergeCell ref="B22:B23"/>
    <mergeCell ref="E22:E23"/>
    <mergeCell ref="M22:M23"/>
    <mergeCell ref="U22:U23"/>
    <mergeCell ref="AC22:AC23"/>
    <mergeCell ref="AK22:AK23"/>
    <mergeCell ref="AN22:AN23"/>
    <mergeCell ref="AO22:AO23"/>
    <mergeCell ref="AM22:AM23"/>
    <mergeCell ref="B2:C5"/>
    <mergeCell ref="D2:AN5"/>
    <mergeCell ref="B11:AO11"/>
    <mergeCell ref="B12:B13"/>
    <mergeCell ref="E12:E13"/>
    <mergeCell ref="M12:M13"/>
    <mergeCell ref="U12:U13"/>
    <mergeCell ref="AC12:AC13"/>
    <mergeCell ref="AK12:AK13"/>
    <mergeCell ref="AN12:AN13"/>
    <mergeCell ref="AM12:AM13"/>
    <mergeCell ref="AO12:AO13"/>
  </mergeCells>
  <conditionalFormatting sqref="C14 AK14:AM14 AD14:AG15 AH14:AJ17 AG17 K19">
    <cfRule type="cellIs" dxfId="109" priority="26" operator="equal">
      <formula>"L"</formula>
    </cfRule>
  </conditionalFormatting>
  <conditionalFormatting sqref="C18">
    <cfRule type="cellIs" dxfId="108" priority="23" operator="equal">
      <formula>"L"</formula>
    </cfRule>
  </conditionalFormatting>
  <conditionalFormatting sqref="C15:D15">
    <cfRule type="cellIs" dxfId="107" priority="27" operator="equal">
      <formula>"L"</formula>
    </cfRule>
  </conditionalFormatting>
  <conditionalFormatting sqref="D16">
    <cfRule type="cellIs" dxfId="106" priority="24" operator="equal">
      <formula>"L"</formula>
    </cfRule>
  </conditionalFormatting>
  <conditionalFormatting sqref="D18:D19">
    <cfRule type="cellIs" dxfId="105" priority="13" operator="equal">
      <formula>"L"</formula>
    </cfRule>
  </conditionalFormatting>
  <conditionalFormatting sqref="F15:F19">
    <cfRule type="cellIs" dxfId="104" priority="22" operator="equal">
      <formula>"L"</formula>
    </cfRule>
  </conditionalFormatting>
  <conditionalFormatting sqref="G14">
    <cfRule type="cellIs" dxfId="103" priority="42" operator="equal">
      <formula>"L"</formula>
    </cfRule>
  </conditionalFormatting>
  <conditionalFormatting sqref="G17">
    <cfRule type="cellIs" dxfId="102" priority="41" operator="equal">
      <formula>"L"</formula>
    </cfRule>
  </conditionalFormatting>
  <conditionalFormatting sqref="H14:H15">
    <cfRule type="cellIs" dxfId="101" priority="40" operator="equal">
      <formula>"L"</formula>
    </cfRule>
  </conditionalFormatting>
  <conditionalFormatting sqref="I15">
    <cfRule type="cellIs" dxfId="100" priority="39" operator="equal">
      <formula>"L"</formula>
    </cfRule>
  </conditionalFormatting>
  <conditionalFormatting sqref="I16:J16">
    <cfRule type="cellIs" dxfId="99" priority="30" operator="equal">
      <formula>"L"</formula>
    </cfRule>
  </conditionalFormatting>
  <conditionalFormatting sqref="J18:J19">
    <cfRule type="cellIs" dxfId="98" priority="6" operator="equal">
      <formula>"L"</formula>
    </cfRule>
  </conditionalFormatting>
  <conditionalFormatting sqref="J17:K17">
    <cfRule type="cellIs" dxfId="97" priority="31" operator="equal">
      <formula>"L"</formula>
    </cfRule>
  </conditionalFormatting>
  <conditionalFormatting sqref="K14:L14">
    <cfRule type="cellIs" dxfId="96" priority="38" operator="equal">
      <formula>"L"</formula>
    </cfRule>
  </conditionalFormatting>
  <conditionalFormatting sqref="L15">
    <cfRule type="cellIs" dxfId="95" priority="25" operator="equal">
      <formula>"L"</formula>
    </cfRule>
  </conditionalFormatting>
  <conditionalFormatting sqref="L18:L19">
    <cfRule type="cellIs" dxfId="94" priority="14" operator="equal">
      <formula>"L"</formula>
    </cfRule>
  </conditionalFormatting>
  <conditionalFormatting sqref="M24:M29">
    <cfRule type="containsText" dxfId="93" priority="93" operator="containsText" text="J2">
      <formula>NOT(ISERROR(SEARCH("J2",M24)))</formula>
    </cfRule>
    <cfRule type="containsText" dxfId="92" priority="94" operator="containsText" text="J1">
      <formula>NOT(ISERROR(SEARCH("J1",M24)))</formula>
    </cfRule>
    <cfRule type="containsText" dxfId="91" priority="95" operator="containsText" text="L">
      <formula>NOT(ISERROR(SEARCH("L",M24)))</formula>
    </cfRule>
    <cfRule type="containsText" dxfId="90" priority="90" operator="containsText" text="J5">
      <formula>NOT(ISERROR(SEARCH("J5",M24)))</formula>
    </cfRule>
    <cfRule type="containsText" dxfId="89" priority="91" operator="containsText" text="J4">
      <formula>NOT(ISERROR(SEARCH("J4",M24)))</formula>
    </cfRule>
    <cfRule type="containsText" dxfId="88" priority="92" operator="containsText" text="J3">
      <formula>NOT(ISERROR(SEARCH("J3",M24)))</formula>
    </cfRule>
  </conditionalFormatting>
  <conditionalFormatting sqref="N15">
    <cfRule type="cellIs" dxfId="87" priority="33" operator="equal">
      <formula>"L"</formula>
    </cfRule>
  </conditionalFormatting>
  <conditionalFormatting sqref="N18:N20">
    <cfRule type="cellIs" dxfId="86" priority="15" operator="equal">
      <formula>"L"</formula>
    </cfRule>
  </conditionalFormatting>
  <conditionalFormatting sqref="N16:O16">
    <cfRule type="cellIs" dxfId="85" priority="32" operator="equal">
      <formula>"L"</formula>
    </cfRule>
  </conditionalFormatting>
  <conditionalFormatting sqref="O17:Q17">
    <cfRule type="cellIs" dxfId="84" priority="29" operator="equal">
      <formula>"L"</formula>
    </cfRule>
  </conditionalFormatting>
  <conditionalFormatting sqref="P14:R14">
    <cfRule type="cellIs" dxfId="83" priority="4" operator="equal">
      <formula>"L"</formula>
    </cfRule>
  </conditionalFormatting>
  <conditionalFormatting sqref="Q15:R15">
    <cfRule type="cellIs" dxfId="82" priority="34" operator="equal">
      <formula>"L"</formula>
    </cfRule>
  </conditionalFormatting>
  <conditionalFormatting sqref="R16:S16">
    <cfRule type="cellIs" dxfId="81" priority="35" operator="equal">
      <formula>"L"</formula>
    </cfRule>
  </conditionalFormatting>
  <conditionalFormatting sqref="S18">
    <cfRule type="cellIs" dxfId="80" priority="21" operator="equal">
      <formula>"L"</formula>
    </cfRule>
  </conditionalFormatting>
  <conditionalFormatting sqref="S17:T17">
    <cfRule type="cellIs" dxfId="79" priority="36" operator="equal">
      <formula>"L"</formula>
    </cfRule>
  </conditionalFormatting>
  <conditionalFormatting sqref="T14">
    <cfRule type="cellIs" dxfId="78" priority="28" operator="equal">
      <formula>"L"</formula>
    </cfRule>
  </conditionalFormatting>
  <conditionalFormatting sqref="T18:T19">
    <cfRule type="cellIs" dxfId="77" priority="12" operator="equal">
      <formula>"L"</formula>
    </cfRule>
  </conditionalFormatting>
  <conditionalFormatting sqref="V18:V19">
    <cfRule type="cellIs" dxfId="76" priority="9" operator="equal">
      <formula>"L"</formula>
    </cfRule>
  </conditionalFormatting>
  <conditionalFormatting sqref="V14:W15">
    <cfRule type="cellIs" dxfId="75" priority="11" operator="equal">
      <formula>"L"</formula>
    </cfRule>
  </conditionalFormatting>
  <conditionalFormatting sqref="W16:X16">
    <cfRule type="cellIs" dxfId="74" priority="37" operator="equal">
      <formula>"L"</formula>
    </cfRule>
  </conditionalFormatting>
  <conditionalFormatting sqref="X15">
    <cfRule type="cellIs" dxfId="73" priority="3" operator="equal">
      <formula>"L"</formula>
    </cfRule>
  </conditionalFormatting>
  <conditionalFormatting sqref="X17:Z17">
    <cfRule type="cellIs" dxfId="72" priority="17" operator="equal">
      <formula>"L"</formula>
    </cfRule>
  </conditionalFormatting>
  <conditionalFormatting sqref="Y14:Z14">
    <cfRule type="cellIs" dxfId="71" priority="19" operator="equal">
      <formula>"L"</formula>
    </cfRule>
  </conditionalFormatting>
  <conditionalFormatting sqref="Z15:AA15">
    <cfRule type="cellIs" dxfId="70" priority="18" operator="equal">
      <formula>"L"</formula>
    </cfRule>
  </conditionalFormatting>
  <conditionalFormatting sqref="AA16">
    <cfRule type="cellIs" dxfId="69" priority="8" operator="equal">
      <formula>"L"</formula>
    </cfRule>
  </conditionalFormatting>
  <conditionalFormatting sqref="AA19:AB19">
    <cfRule type="cellIs" dxfId="68" priority="20" operator="equal">
      <formula>"L"</formula>
    </cfRule>
  </conditionalFormatting>
  <conditionalFormatting sqref="AB16:AB18">
    <cfRule type="cellIs" dxfId="67" priority="16" operator="equal">
      <formula>"L"</formula>
    </cfRule>
  </conditionalFormatting>
  <conditionalFormatting sqref="AD16:AD19">
    <cfRule type="cellIs" dxfId="66" priority="2" operator="equal">
      <formula>"L"</formula>
    </cfRule>
  </conditionalFormatting>
  <conditionalFormatting sqref="AE17">
    <cfRule type="cellIs" dxfId="65" priority="1" operator="equal">
      <formula>"L"</formula>
    </cfRule>
  </conditionalFormatting>
  <conditionalFormatting sqref="AF16:AG16">
    <cfRule type="cellIs" dxfId="64" priority="10" operator="equal">
      <formula>"L"</formula>
    </cfRule>
  </conditionalFormatting>
  <conditionalFormatting sqref="AI18:AJ18">
    <cfRule type="cellIs" dxfId="63" priority="5" operator="equal">
      <formula>"L"</formula>
    </cfRule>
  </conditionalFormatting>
  <conditionalFormatting sqref="AL16:AM17">
    <cfRule type="cellIs" dxfId="62" priority="7" operator="equal">
      <formula>"L"</formula>
    </cfRule>
  </conditionalFormatting>
  <pageMargins left="0.7" right="0.7" top="0.75" bottom="0.75" header="0.3" footer="0.3"/>
  <pageSetup scale="37" orientation="landscape" r:id="rId1"/>
  <ignoredErrors>
    <ignoredError sqref="AG25" formula="1"/>
  </ignoredError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744B4-8EF7-4A4D-A0FF-9E08EAF45B59}">
  <sheetPr>
    <pageSetUpPr fitToPage="1"/>
  </sheetPr>
  <dimension ref="A2:AX56"/>
  <sheetViews>
    <sheetView showGridLines="0" topLeftCell="A42" zoomScale="93" zoomScaleNormal="93" workbookViewId="0">
      <selection activeCell="X51" sqref="X51"/>
    </sheetView>
  </sheetViews>
  <sheetFormatPr baseColWidth="10" defaultColWidth="5.453125" defaultRowHeight="15.5"/>
  <cols>
    <col min="1" max="1" width="5.453125" style="13"/>
    <col min="2" max="2" width="40.1796875" style="13" customWidth="1"/>
    <col min="3" max="3" width="5.54296875" style="13" customWidth="1"/>
    <col min="4" max="4" width="4.7265625" style="13" customWidth="1"/>
    <col min="5" max="13" width="4.81640625" style="13" customWidth="1"/>
    <col min="14" max="14" width="5.453125" style="13" customWidth="1"/>
    <col min="15" max="22" width="4.81640625" style="13" customWidth="1"/>
    <col min="23" max="23" width="4.54296875" style="13" customWidth="1"/>
    <col min="24" max="24" width="4.7265625" style="13" customWidth="1"/>
    <col min="25" max="29" width="4.81640625" style="13" customWidth="1"/>
    <col min="30" max="30" width="5.26953125" style="13" customWidth="1"/>
    <col min="31" max="33" width="4.81640625" style="13" customWidth="1"/>
    <col min="34" max="34" width="4.7265625" style="13" customWidth="1"/>
    <col min="35" max="35" width="5" style="13" customWidth="1"/>
    <col min="36" max="36" width="5.7265625" style="13" customWidth="1"/>
    <col min="37" max="37" width="3.26953125" style="13" bestFit="1" customWidth="1"/>
    <col min="38" max="39" width="5.7265625" style="13" customWidth="1"/>
    <col min="40" max="40" width="6.453125" style="13" customWidth="1"/>
    <col min="41" max="41" width="31.54296875" style="13" customWidth="1"/>
    <col min="42" max="43" width="5.81640625" style="13" customWidth="1"/>
    <col min="44" max="44" width="14.26953125" style="13" customWidth="1"/>
    <col min="45" max="45" width="21.26953125" style="13" customWidth="1"/>
    <col min="46" max="46" width="30.81640625" style="13" customWidth="1"/>
    <col min="47" max="47" width="38.54296875" style="13" customWidth="1"/>
    <col min="48" max="48" width="7.54296875" style="13" customWidth="1"/>
    <col min="49" max="49" width="4.81640625" style="13" customWidth="1"/>
    <col min="50" max="50" width="20.453125" style="13" customWidth="1"/>
    <col min="51" max="51" width="6.81640625" style="13" customWidth="1"/>
    <col min="52" max="16384" width="5.453125" style="13"/>
  </cols>
  <sheetData>
    <row r="2" spans="2:44">
      <c r="B2" s="437"/>
      <c r="C2" s="438"/>
      <c r="D2" s="443" t="s">
        <v>0</v>
      </c>
      <c r="E2" s="444"/>
      <c r="F2" s="444"/>
      <c r="G2" s="444"/>
      <c r="H2" s="444"/>
      <c r="I2" s="444"/>
      <c r="J2" s="444"/>
      <c r="K2" s="444"/>
      <c r="L2" s="444"/>
      <c r="M2" s="444"/>
      <c r="N2" s="444"/>
      <c r="O2" s="444"/>
      <c r="P2" s="444"/>
      <c r="Q2" s="444"/>
      <c r="R2" s="444"/>
      <c r="S2" s="444"/>
      <c r="T2" s="444"/>
      <c r="U2" s="444"/>
      <c r="V2" s="444"/>
      <c r="W2" s="444"/>
      <c r="X2" s="444"/>
      <c r="Y2" s="444"/>
      <c r="Z2" s="444"/>
      <c r="AA2" s="444"/>
      <c r="AB2" s="444"/>
      <c r="AC2" s="444"/>
      <c r="AD2" s="444"/>
      <c r="AE2" s="444"/>
      <c r="AF2" s="444"/>
      <c r="AG2" s="444"/>
      <c r="AH2" s="444"/>
      <c r="AI2" s="444"/>
      <c r="AJ2" s="444"/>
      <c r="AK2" s="444"/>
      <c r="AL2" s="444"/>
      <c r="AM2" s="444"/>
      <c r="AN2" s="445"/>
      <c r="AO2" s="7" t="s">
        <v>1</v>
      </c>
    </row>
    <row r="3" spans="2:44" ht="15" customHeight="1">
      <c r="B3" s="439"/>
      <c r="C3" s="440"/>
      <c r="D3" s="446"/>
      <c r="E3" s="447"/>
      <c r="F3" s="447"/>
      <c r="G3" s="447"/>
      <c r="H3" s="447"/>
      <c r="I3" s="447"/>
      <c r="J3" s="447"/>
      <c r="K3" s="447"/>
      <c r="L3" s="447"/>
      <c r="M3" s="447"/>
      <c r="N3" s="447"/>
      <c r="O3" s="447"/>
      <c r="P3" s="447"/>
      <c r="Q3" s="447"/>
      <c r="R3" s="447"/>
      <c r="S3" s="447"/>
      <c r="T3" s="447"/>
      <c r="U3" s="447"/>
      <c r="V3" s="447"/>
      <c r="W3" s="447"/>
      <c r="X3" s="447"/>
      <c r="Y3" s="447"/>
      <c r="Z3" s="447"/>
      <c r="AA3" s="447"/>
      <c r="AB3" s="447"/>
      <c r="AC3" s="447"/>
      <c r="AD3" s="447"/>
      <c r="AE3" s="447"/>
      <c r="AF3" s="447"/>
      <c r="AG3" s="447"/>
      <c r="AH3" s="447"/>
      <c r="AI3" s="447"/>
      <c r="AJ3" s="447"/>
      <c r="AK3" s="447"/>
      <c r="AL3" s="447"/>
      <c r="AM3" s="447"/>
      <c r="AN3" s="448"/>
      <c r="AO3" s="6" t="s">
        <v>50</v>
      </c>
    </row>
    <row r="4" spans="2:44" ht="16.5" customHeight="1">
      <c r="B4" s="439"/>
      <c r="C4" s="440"/>
      <c r="D4" s="446"/>
      <c r="E4" s="447"/>
      <c r="F4" s="447"/>
      <c r="G4" s="447"/>
      <c r="H4" s="447"/>
      <c r="I4" s="447"/>
      <c r="J4" s="447"/>
      <c r="K4" s="447"/>
      <c r="L4" s="447"/>
      <c r="M4" s="447"/>
      <c r="N4" s="447"/>
      <c r="O4" s="447"/>
      <c r="P4" s="447"/>
      <c r="Q4" s="447"/>
      <c r="R4" s="447"/>
      <c r="S4" s="447"/>
      <c r="T4" s="447"/>
      <c r="U4" s="447"/>
      <c r="V4" s="447"/>
      <c r="W4" s="447"/>
      <c r="X4" s="447"/>
      <c r="Y4" s="447"/>
      <c r="Z4" s="447"/>
      <c r="AA4" s="447"/>
      <c r="AB4" s="447"/>
      <c r="AC4" s="447"/>
      <c r="AD4" s="447"/>
      <c r="AE4" s="447"/>
      <c r="AF4" s="447"/>
      <c r="AG4" s="447"/>
      <c r="AH4" s="447"/>
      <c r="AI4" s="447"/>
      <c r="AJ4" s="447"/>
      <c r="AK4" s="447"/>
      <c r="AL4" s="447"/>
      <c r="AM4" s="447"/>
      <c r="AN4" s="448"/>
      <c r="AO4" s="5" t="s">
        <v>49</v>
      </c>
    </row>
    <row r="5" spans="2:44" ht="18.75" customHeight="1">
      <c r="B5" s="441"/>
      <c r="C5" s="442"/>
      <c r="D5" s="449"/>
      <c r="E5" s="450"/>
      <c r="F5" s="450"/>
      <c r="G5" s="450"/>
      <c r="H5" s="450"/>
      <c r="I5" s="450"/>
      <c r="J5" s="450"/>
      <c r="K5" s="450"/>
      <c r="L5" s="450"/>
      <c r="M5" s="450"/>
      <c r="N5" s="450"/>
      <c r="O5" s="450"/>
      <c r="P5" s="450"/>
      <c r="Q5" s="450"/>
      <c r="R5" s="450"/>
      <c r="S5" s="450"/>
      <c r="T5" s="450"/>
      <c r="U5" s="450"/>
      <c r="V5" s="450"/>
      <c r="W5" s="450"/>
      <c r="X5" s="450"/>
      <c r="Y5" s="450"/>
      <c r="Z5" s="450"/>
      <c r="AA5" s="450"/>
      <c r="AB5" s="450"/>
      <c r="AC5" s="450"/>
      <c r="AD5" s="450"/>
      <c r="AE5" s="450"/>
      <c r="AF5" s="450"/>
      <c r="AG5" s="450"/>
      <c r="AH5" s="450"/>
      <c r="AI5" s="450"/>
      <c r="AJ5" s="450"/>
      <c r="AK5" s="450"/>
      <c r="AL5" s="450"/>
      <c r="AM5" s="450"/>
      <c r="AN5" s="451"/>
      <c r="AO5" s="5" t="s">
        <v>2</v>
      </c>
    </row>
    <row r="6" spans="2:44" ht="8.25" customHeight="1"/>
    <row r="7" spans="2:44">
      <c r="B7" s="15" t="s">
        <v>3</v>
      </c>
      <c r="C7" s="15"/>
      <c r="D7" s="16" t="s">
        <v>4</v>
      </c>
      <c r="E7" s="15"/>
      <c r="F7" s="17"/>
      <c r="G7" s="17"/>
      <c r="H7" s="17"/>
      <c r="I7" s="17"/>
    </row>
    <row r="8" spans="2:44">
      <c r="B8" s="15" t="s">
        <v>5</v>
      </c>
      <c r="C8" s="15"/>
      <c r="D8" s="17" t="s">
        <v>60</v>
      </c>
      <c r="E8" s="15"/>
      <c r="F8" s="17"/>
      <c r="G8" s="17"/>
      <c r="H8" s="17"/>
      <c r="I8" s="17"/>
    </row>
    <row r="9" spans="2:44">
      <c r="B9" s="15" t="s">
        <v>6</v>
      </c>
      <c r="C9" s="15"/>
      <c r="D9" s="17" t="s">
        <v>59</v>
      </c>
      <c r="E9" s="15"/>
      <c r="F9" s="17"/>
      <c r="G9" s="17"/>
      <c r="H9" s="17"/>
      <c r="I9" s="17"/>
    </row>
    <row r="10" spans="2:44" ht="8.25" customHeight="1"/>
    <row r="11" spans="2:44">
      <c r="B11" s="452" t="s">
        <v>58</v>
      </c>
      <c r="C11" s="452"/>
      <c r="D11" s="452"/>
      <c r="E11" s="452"/>
      <c r="F11" s="452"/>
      <c r="G11" s="452"/>
      <c r="H11" s="452"/>
      <c r="I11" s="452"/>
      <c r="J11" s="452"/>
      <c r="K11" s="452"/>
      <c r="L11" s="452"/>
      <c r="M11" s="452"/>
      <c r="N11" s="452"/>
      <c r="O11" s="452"/>
      <c r="P11" s="452"/>
      <c r="Q11" s="452"/>
      <c r="R11" s="452"/>
      <c r="S11" s="452"/>
      <c r="T11" s="452"/>
      <c r="U11" s="452"/>
      <c r="V11" s="452"/>
      <c r="W11" s="452"/>
      <c r="X11" s="452"/>
      <c r="Y11" s="452"/>
      <c r="Z11" s="452"/>
      <c r="AA11" s="452"/>
      <c r="AB11" s="452"/>
      <c r="AC11" s="452"/>
      <c r="AD11" s="452"/>
      <c r="AE11" s="452"/>
      <c r="AF11" s="452"/>
      <c r="AG11" s="452"/>
      <c r="AH11" s="452"/>
      <c r="AI11" s="452"/>
      <c r="AJ11" s="452"/>
      <c r="AK11" s="452"/>
      <c r="AL11" s="452"/>
      <c r="AM11" s="452"/>
      <c r="AN11" s="452"/>
      <c r="AO11" s="452"/>
    </row>
    <row r="12" spans="2:44" ht="15" customHeight="1">
      <c r="B12" s="453" t="s">
        <v>7</v>
      </c>
      <c r="C12" s="18" t="s">
        <v>12</v>
      </c>
      <c r="D12" s="19" t="s">
        <v>13</v>
      </c>
      <c r="E12" s="454" t="s">
        <v>14</v>
      </c>
      <c r="F12" s="75" t="s">
        <v>8</v>
      </c>
      <c r="G12" s="18" t="s">
        <v>9</v>
      </c>
      <c r="H12" s="18" t="s">
        <v>9</v>
      </c>
      <c r="I12" s="18" t="s">
        <v>10</v>
      </c>
      <c r="J12" s="19" t="s">
        <v>11</v>
      </c>
      <c r="K12" s="18" t="s">
        <v>12</v>
      </c>
      <c r="L12" s="19" t="s">
        <v>13</v>
      </c>
      <c r="M12" s="454" t="s">
        <v>14</v>
      </c>
      <c r="N12" s="18" t="s">
        <v>8</v>
      </c>
      <c r="O12" s="18" t="s">
        <v>9</v>
      </c>
      <c r="P12" s="18" t="s">
        <v>9</v>
      </c>
      <c r="Q12" s="18" t="s">
        <v>10</v>
      </c>
      <c r="R12" s="18" t="s">
        <v>11</v>
      </c>
      <c r="S12" s="18" t="s">
        <v>12</v>
      </c>
      <c r="T12" s="19" t="s">
        <v>13</v>
      </c>
      <c r="U12" s="454" t="s">
        <v>14</v>
      </c>
      <c r="V12" s="19" t="s">
        <v>8</v>
      </c>
      <c r="W12" s="18" t="s">
        <v>9</v>
      </c>
      <c r="X12" s="18" t="s">
        <v>9</v>
      </c>
      <c r="Y12" s="18" t="s">
        <v>10</v>
      </c>
      <c r="Z12" s="18" t="s">
        <v>11</v>
      </c>
      <c r="AA12" s="18" t="s">
        <v>12</v>
      </c>
      <c r="AB12" s="19" t="s">
        <v>13</v>
      </c>
      <c r="AC12" s="454" t="s">
        <v>14</v>
      </c>
      <c r="AD12" s="75" t="s">
        <v>8</v>
      </c>
      <c r="AE12" s="18" t="s">
        <v>9</v>
      </c>
      <c r="AF12" s="18" t="s">
        <v>9</v>
      </c>
      <c r="AG12" s="18" t="s">
        <v>10</v>
      </c>
      <c r="AH12" s="18" t="s">
        <v>11</v>
      </c>
      <c r="AI12" s="18" t="s">
        <v>12</v>
      </c>
      <c r="AJ12" s="18" t="s">
        <v>13</v>
      </c>
      <c r="AK12" s="454" t="s">
        <v>14</v>
      </c>
      <c r="AL12" s="18" t="s">
        <v>8</v>
      </c>
      <c r="AM12" s="454" t="s">
        <v>14</v>
      </c>
      <c r="AN12" s="456" t="s">
        <v>15</v>
      </c>
      <c r="AO12" s="458" t="s">
        <v>16</v>
      </c>
    </row>
    <row r="13" spans="2:44" ht="16.5" customHeight="1">
      <c r="B13" s="453"/>
      <c r="C13" s="18">
        <v>1</v>
      </c>
      <c r="D13" s="20">
        <v>2</v>
      </c>
      <c r="E13" s="455"/>
      <c r="F13" s="18">
        <v>3</v>
      </c>
      <c r="G13" s="18">
        <v>4</v>
      </c>
      <c r="H13" s="18">
        <v>5</v>
      </c>
      <c r="I13" s="18">
        <v>6</v>
      </c>
      <c r="J13" s="20">
        <v>7</v>
      </c>
      <c r="K13" s="18">
        <v>8</v>
      </c>
      <c r="L13" s="20">
        <v>9</v>
      </c>
      <c r="M13" s="455"/>
      <c r="N13" s="18">
        <v>10</v>
      </c>
      <c r="O13" s="18">
        <v>11</v>
      </c>
      <c r="P13" s="18">
        <v>12</v>
      </c>
      <c r="Q13" s="18">
        <v>13</v>
      </c>
      <c r="R13" s="18">
        <v>14</v>
      </c>
      <c r="S13" s="18">
        <v>15</v>
      </c>
      <c r="T13" s="20">
        <v>16</v>
      </c>
      <c r="U13" s="455"/>
      <c r="V13" s="20">
        <v>17</v>
      </c>
      <c r="W13" s="18">
        <v>18</v>
      </c>
      <c r="X13" s="18">
        <v>19</v>
      </c>
      <c r="Y13" s="18">
        <v>20</v>
      </c>
      <c r="Z13" s="18">
        <v>21</v>
      </c>
      <c r="AA13" s="18">
        <v>22</v>
      </c>
      <c r="AB13" s="20">
        <v>23</v>
      </c>
      <c r="AC13" s="455"/>
      <c r="AD13" s="18">
        <v>24</v>
      </c>
      <c r="AE13" s="18">
        <v>25</v>
      </c>
      <c r="AF13" s="18">
        <v>26</v>
      </c>
      <c r="AG13" s="18">
        <v>27</v>
      </c>
      <c r="AH13" s="18">
        <v>28</v>
      </c>
      <c r="AI13" s="18">
        <v>29</v>
      </c>
      <c r="AJ13" s="18">
        <v>30</v>
      </c>
      <c r="AK13" s="455"/>
      <c r="AL13" s="18">
        <v>31</v>
      </c>
      <c r="AM13" s="455"/>
      <c r="AN13" s="457"/>
      <c r="AO13" s="459"/>
    </row>
    <row r="14" spans="2:44">
      <c r="B14" s="4" t="s">
        <v>57</v>
      </c>
      <c r="C14" s="22" t="s">
        <v>8</v>
      </c>
      <c r="D14" s="22" t="s">
        <v>8</v>
      </c>
      <c r="E14" s="22"/>
      <c r="F14" s="22" t="s">
        <v>32</v>
      </c>
      <c r="G14" s="22" t="s">
        <v>32</v>
      </c>
      <c r="H14" s="22" t="s">
        <v>32</v>
      </c>
      <c r="I14" s="22" t="s">
        <v>17</v>
      </c>
      <c r="J14" s="22" t="s">
        <v>8</v>
      </c>
      <c r="K14" s="22" t="s">
        <v>38</v>
      </c>
      <c r="L14" s="22" t="s">
        <v>8</v>
      </c>
      <c r="M14" s="22"/>
      <c r="N14" s="22" t="s">
        <v>32</v>
      </c>
      <c r="O14" s="22" t="s">
        <v>32</v>
      </c>
      <c r="P14" s="22" t="s">
        <v>32</v>
      </c>
      <c r="Q14" s="22" t="s">
        <v>17</v>
      </c>
      <c r="R14" s="22" t="s">
        <v>32</v>
      </c>
      <c r="S14" s="22" t="s">
        <v>8</v>
      </c>
      <c r="T14" s="22" t="s">
        <v>8</v>
      </c>
      <c r="U14" s="18"/>
      <c r="V14" s="22" t="s">
        <v>8</v>
      </c>
      <c r="W14" s="22" t="s">
        <v>32</v>
      </c>
      <c r="X14" s="22" t="s">
        <v>32</v>
      </c>
      <c r="Y14" s="22" t="s">
        <v>17</v>
      </c>
      <c r="Z14" s="22" t="s">
        <v>32</v>
      </c>
      <c r="AA14" s="22" t="s">
        <v>37</v>
      </c>
      <c r="AB14" s="22" t="s">
        <v>8</v>
      </c>
      <c r="AC14" s="18"/>
      <c r="AD14" s="22" t="s">
        <v>32</v>
      </c>
      <c r="AE14" s="22" t="s">
        <v>13</v>
      </c>
      <c r="AF14" s="22" t="s">
        <v>13</v>
      </c>
      <c r="AG14" s="22" t="s">
        <v>17</v>
      </c>
      <c r="AH14" s="22" t="s">
        <v>13</v>
      </c>
      <c r="AI14" s="22" t="s">
        <v>8</v>
      </c>
      <c r="AJ14" s="22" t="s">
        <v>8</v>
      </c>
      <c r="AK14" s="22"/>
      <c r="AL14" s="22" t="s">
        <v>13</v>
      </c>
      <c r="AM14" s="22"/>
      <c r="AN14" s="23" t="s">
        <v>15</v>
      </c>
      <c r="AO14" s="24"/>
    </row>
    <row r="15" spans="2:44" ht="14.25" customHeight="1">
      <c r="B15" s="4" t="s">
        <v>56</v>
      </c>
      <c r="C15" s="22" t="s">
        <v>8</v>
      </c>
      <c r="D15" s="22" t="s">
        <v>8</v>
      </c>
      <c r="E15" s="22"/>
      <c r="F15" s="22" t="s">
        <v>13</v>
      </c>
      <c r="G15" s="22" t="s">
        <v>13</v>
      </c>
      <c r="H15" s="22" t="s">
        <v>13</v>
      </c>
      <c r="I15" s="22" t="s">
        <v>13</v>
      </c>
      <c r="J15" s="22" t="s">
        <v>8</v>
      </c>
      <c r="K15" s="22" t="s">
        <v>38</v>
      </c>
      <c r="L15" s="22" t="s">
        <v>8</v>
      </c>
      <c r="M15" s="22"/>
      <c r="N15" s="22" t="s">
        <v>32</v>
      </c>
      <c r="O15" s="22" t="s">
        <v>32</v>
      </c>
      <c r="P15" s="22" t="s">
        <v>32</v>
      </c>
      <c r="Q15" s="22" t="s">
        <v>32</v>
      </c>
      <c r="R15" s="22" t="s">
        <v>13</v>
      </c>
      <c r="S15" s="22" t="s">
        <v>8</v>
      </c>
      <c r="T15" s="22" t="s">
        <v>8</v>
      </c>
      <c r="U15" s="22"/>
      <c r="V15" s="22" t="s">
        <v>8</v>
      </c>
      <c r="W15" s="22" t="s">
        <v>13</v>
      </c>
      <c r="X15" s="22" t="s">
        <v>13</v>
      </c>
      <c r="Y15" s="22" t="s">
        <v>13</v>
      </c>
      <c r="Z15" s="22" t="s">
        <v>13</v>
      </c>
      <c r="AA15" s="22" t="s">
        <v>38</v>
      </c>
      <c r="AB15" s="22" t="s">
        <v>8</v>
      </c>
      <c r="AC15" s="22"/>
      <c r="AD15" s="22" t="s">
        <v>13</v>
      </c>
      <c r="AE15" s="22" t="s">
        <v>13</v>
      </c>
      <c r="AF15" s="22" t="s">
        <v>13</v>
      </c>
      <c r="AG15" s="22" t="s">
        <v>13</v>
      </c>
      <c r="AH15" s="22" t="s">
        <v>13</v>
      </c>
      <c r="AI15" s="22" t="s">
        <v>8</v>
      </c>
      <c r="AJ15" s="22" t="s">
        <v>8</v>
      </c>
      <c r="AK15" s="22"/>
      <c r="AL15" s="22" t="s">
        <v>13</v>
      </c>
      <c r="AM15" s="22"/>
      <c r="AN15" s="23" t="s">
        <v>15</v>
      </c>
      <c r="AO15" s="24"/>
    </row>
    <row r="16" spans="2:44" ht="14.25" customHeight="1">
      <c r="B16" s="26"/>
      <c r="C16" s="27"/>
      <c r="D16" s="27"/>
      <c r="E16" s="27"/>
      <c r="F16" s="27"/>
      <c r="G16" s="27"/>
      <c r="H16" s="27"/>
      <c r="I16" s="27"/>
      <c r="J16" s="27"/>
      <c r="K16" s="27"/>
      <c r="L16" s="27"/>
      <c r="M16" s="27"/>
      <c r="N16" s="22"/>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14"/>
    </row>
    <row r="17" spans="2:50">
      <c r="B17" s="452" t="s">
        <v>58</v>
      </c>
      <c r="C17" s="452"/>
      <c r="D17" s="452"/>
      <c r="E17" s="452"/>
      <c r="F17" s="452"/>
      <c r="G17" s="452"/>
      <c r="H17" s="452"/>
      <c r="I17" s="452"/>
      <c r="J17" s="452"/>
      <c r="K17" s="452"/>
      <c r="L17" s="452"/>
      <c r="M17" s="452"/>
      <c r="N17" s="452"/>
      <c r="O17" s="452"/>
      <c r="P17" s="452"/>
      <c r="Q17" s="452"/>
      <c r="R17" s="452"/>
      <c r="S17" s="452"/>
      <c r="T17" s="452"/>
      <c r="U17" s="452"/>
      <c r="V17" s="452"/>
      <c r="W17" s="452"/>
      <c r="X17" s="452"/>
      <c r="Y17" s="452"/>
      <c r="Z17" s="452"/>
      <c r="AA17" s="452"/>
      <c r="AB17" s="452"/>
      <c r="AC17" s="452"/>
      <c r="AD17" s="452"/>
      <c r="AE17" s="452"/>
      <c r="AF17" s="452"/>
      <c r="AG17" s="452"/>
      <c r="AH17" s="452"/>
      <c r="AI17" s="452"/>
      <c r="AJ17" s="452"/>
      <c r="AK17" s="452"/>
      <c r="AL17" s="452"/>
      <c r="AM17" s="452"/>
      <c r="AN17" s="452"/>
      <c r="AO17" s="452"/>
    </row>
    <row r="18" spans="2:50">
      <c r="B18" s="453" t="s">
        <v>7</v>
      </c>
      <c r="C18" s="18" t="s">
        <v>12</v>
      </c>
      <c r="D18" s="19" t="s">
        <v>13</v>
      </c>
      <c r="E18" s="454" t="s">
        <v>14</v>
      </c>
      <c r="F18" s="18" t="s">
        <v>8</v>
      </c>
      <c r="G18" s="18" t="s">
        <v>9</v>
      </c>
      <c r="H18" s="18" t="s">
        <v>9</v>
      </c>
      <c r="I18" s="18" t="s">
        <v>10</v>
      </c>
      <c r="J18" s="19" t="s">
        <v>11</v>
      </c>
      <c r="K18" s="18" t="s">
        <v>12</v>
      </c>
      <c r="L18" s="19" t="s">
        <v>13</v>
      </c>
      <c r="M18" s="454" t="s">
        <v>14</v>
      </c>
      <c r="N18" s="23" t="s">
        <v>8</v>
      </c>
      <c r="O18" s="23" t="s">
        <v>9</v>
      </c>
      <c r="P18" s="18" t="s">
        <v>9</v>
      </c>
      <c r="Q18" s="18" t="s">
        <v>10</v>
      </c>
      <c r="R18" s="18" t="s">
        <v>11</v>
      </c>
      <c r="S18" s="18" t="s">
        <v>12</v>
      </c>
      <c r="T18" s="19" t="s">
        <v>13</v>
      </c>
      <c r="U18" s="454" t="s">
        <v>14</v>
      </c>
      <c r="V18" s="19" t="s">
        <v>8</v>
      </c>
      <c r="W18" s="18" t="s">
        <v>9</v>
      </c>
      <c r="X18" s="18" t="s">
        <v>9</v>
      </c>
      <c r="Y18" s="18" t="s">
        <v>10</v>
      </c>
      <c r="Z18" s="18" t="s">
        <v>11</v>
      </c>
      <c r="AA18" s="18" t="s">
        <v>12</v>
      </c>
      <c r="AB18" s="19" t="s">
        <v>13</v>
      </c>
      <c r="AC18" s="454" t="s">
        <v>14</v>
      </c>
      <c r="AD18" s="75" t="s">
        <v>8</v>
      </c>
      <c r="AE18" s="18" t="s">
        <v>9</v>
      </c>
      <c r="AF18" s="18" t="s">
        <v>9</v>
      </c>
      <c r="AG18" s="18" t="s">
        <v>10</v>
      </c>
      <c r="AH18" s="18" t="s">
        <v>11</v>
      </c>
      <c r="AI18" s="18" t="s">
        <v>12</v>
      </c>
      <c r="AJ18" s="19" t="s">
        <v>13</v>
      </c>
      <c r="AK18" s="454" t="s">
        <v>14</v>
      </c>
      <c r="AL18" s="18" t="s">
        <v>8</v>
      </c>
      <c r="AM18" s="454" t="s">
        <v>14</v>
      </c>
      <c r="AN18" s="456" t="s">
        <v>15</v>
      </c>
      <c r="AO18" s="458" t="s">
        <v>41</v>
      </c>
    </row>
    <row r="19" spans="2:50">
      <c r="B19" s="453"/>
      <c r="C19" s="18">
        <v>1</v>
      </c>
      <c r="D19" s="20">
        <v>2</v>
      </c>
      <c r="E19" s="455"/>
      <c r="F19" s="18">
        <v>3</v>
      </c>
      <c r="G19" s="18">
        <v>4</v>
      </c>
      <c r="H19" s="18">
        <v>5</v>
      </c>
      <c r="I19" s="18">
        <v>6</v>
      </c>
      <c r="J19" s="20">
        <v>7</v>
      </c>
      <c r="K19" s="18">
        <v>8</v>
      </c>
      <c r="L19" s="20">
        <v>9</v>
      </c>
      <c r="M19" s="455"/>
      <c r="N19" s="23">
        <v>10</v>
      </c>
      <c r="O19" s="23">
        <v>11</v>
      </c>
      <c r="P19" s="18">
        <v>12</v>
      </c>
      <c r="Q19" s="18">
        <v>13</v>
      </c>
      <c r="R19" s="18">
        <v>14</v>
      </c>
      <c r="S19" s="18">
        <v>15</v>
      </c>
      <c r="T19" s="20">
        <v>16</v>
      </c>
      <c r="U19" s="455"/>
      <c r="V19" s="20">
        <v>17</v>
      </c>
      <c r="W19" s="18">
        <v>18</v>
      </c>
      <c r="X19" s="18">
        <v>19</v>
      </c>
      <c r="Y19" s="18">
        <v>20</v>
      </c>
      <c r="Z19" s="18">
        <v>21</v>
      </c>
      <c r="AA19" s="18">
        <v>22</v>
      </c>
      <c r="AB19" s="20">
        <v>23</v>
      </c>
      <c r="AC19" s="455"/>
      <c r="AD19" s="18">
        <v>24</v>
      </c>
      <c r="AE19" s="18">
        <v>25</v>
      </c>
      <c r="AF19" s="18">
        <v>26</v>
      </c>
      <c r="AG19" s="18">
        <v>27</v>
      </c>
      <c r="AH19" s="18">
        <v>28</v>
      </c>
      <c r="AI19" s="18">
        <v>29</v>
      </c>
      <c r="AJ19" s="20">
        <v>30</v>
      </c>
      <c r="AK19" s="455"/>
      <c r="AL19" s="18">
        <v>31</v>
      </c>
      <c r="AM19" s="455"/>
      <c r="AN19" s="457"/>
      <c r="AO19" s="459"/>
    </row>
    <row r="20" spans="2:50">
      <c r="B20" s="29" t="str">
        <f>+B14</f>
        <v>YURY MARIN QUINTERO</v>
      </c>
      <c r="C20" s="23">
        <f>VLOOKUP(C14,$D$33:$U$40,18,FALSE)</f>
        <v>0</v>
      </c>
      <c r="D20" s="28">
        <f>VLOOKUP(D14,$D$33:$U$40,18,FALSE)</f>
        <v>0</v>
      </c>
      <c r="E20" s="23">
        <f>SUM(C20:D20)</f>
        <v>0</v>
      </c>
      <c r="F20" s="18">
        <f>VLOOKUP(F14,D31:V59,18,)</f>
        <v>9</v>
      </c>
      <c r="G20" s="23">
        <f>VLOOKUP(G14,D31:V59,18,)</f>
        <v>9</v>
      </c>
      <c r="H20" s="23">
        <f>VLOOKUP(H14,D31:V59,18,)</f>
        <v>9</v>
      </c>
      <c r="I20" s="18">
        <f>VLOOKUP(I14,D31:V40,18,)</f>
        <v>6.5</v>
      </c>
      <c r="J20" s="19">
        <f>VLOOKUP(J14,D17:V40,18,)</f>
        <v>0</v>
      </c>
      <c r="K20" s="23">
        <f>VLOOKUP(K14,D17:V40,18,)</f>
        <v>5</v>
      </c>
      <c r="L20" s="28">
        <f>VLOOKUP(L14,D17:V40,18,)</f>
        <v>0</v>
      </c>
      <c r="M20" s="22">
        <f>SUM(F20:L20)</f>
        <v>38.5</v>
      </c>
      <c r="N20" s="23">
        <f>VLOOKUP(N14,D31:V40,18,)</f>
        <v>9</v>
      </c>
      <c r="O20" s="23">
        <f>VLOOKUP(O14,D31:V59,18,)</f>
        <v>9</v>
      </c>
      <c r="P20" s="23">
        <f>VLOOKUP(P14,D31:V40,18,)</f>
        <v>9</v>
      </c>
      <c r="Q20" s="23">
        <f>VLOOKUP(Q14,D31:X59,18,)</f>
        <v>6.5</v>
      </c>
      <c r="R20" s="23">
        <f>VLOOKUP(R14,D31:V40,18,)</f>
        <v>9</v>
      </c>
      <c r="S20" s="23">
        <f>VLOOKUP(S14,D17:V40,18,)</f>
        <v>0</v>
      </c>
      <c r="T20" s="28">
        <f>VLOOKUP(T14,D31:V40,18,)</f>
        <v>0</v>
      </c>
      <c r="U20" s="23">
        <f>SUM(N20:T20)</f>
        <v>42.5</v>
      </c>
      <c r="V20" s="19">
        <f>VLOOKUP(V14,D17:V40,18,)</f>
        <v>0</v>
      </c>
      <c r="W20" s="23">
        <f>VLOOKUP(W14,D31:V40,18,)</f>
        <v>9</v>
      </c>
      <c r="X20" s="23">
        <f>VLOOKUP(X14,D31:V40,18,)</f>
        <v>9</v>
      </c>
      <c r="Y20" s="23">
        <f>VLOOKUP(Y14,D31:V40,18,)</f>
        <v>6.5</v>
      </c>
      <c r="Z20" s="23">
        <f>VLOOKUP(Z14,D31:V40,18,)</f>
        <v>9</v>
      </c>
      <c r="AA20" s="23">
        <f>VLOOKUP(AA14,D31:V40,18,)</f>
        <v>4</v>
      </c>
      <c r="AB20" s="28">
        <f>VLOOKUP(AB14,D17:V40,18,)</f>
        <v>0</v>
      </c>
      <c r="AC20" s="23">
        <f t="shared" ref="AC20:AC21" si="0">SUM(V20:AB20)</f>
        <v>37.5</v>
      </c>
      <c r="AD20" s="23">
        <f>VLOOKUP(AD14,D31:V59,18,)</f>
        <v>9</v>
      </c>
      <c r="AE20" s="23">
        <f>VLOOKUP(AE14,D31:V59,18,)</f>
        <v>8</v>
      </c>
      <c r="AF20" s="23">
        <f>VLOOKUP(AF14,D31:V40,18,)</f>
        <v>8</v>
      </c>
      <c r="AG20" s="23">
        <f>VLOOKUP(AG14,D31:V59,18,)</f>
        <v>6.5</v>
      </c>
      <c r="AH20" s="23">
        <f>VLOOKUP(AH14,D31:W40,18,)</f>
        <v>8</v>
      </c>
      <c r="AI20" s="23">
        <f>VLOOKUP(AI14,D31:V40,18,)</f>
        <v>0</v>
      </c>
      <c r="AJ20" s="19">
        <f>VLOOKUP(AJ14,D31:V40,18,)</f>
        <v>0</v>
      </c>
      <c r="AK20" s="23">
        <f>SUM(AD20:AJ20)</f>
        <v>39.5</v>
      </c>
      <c r="AL20" s="23">
        <f>VLOOKUP(AL14,D31:V40,18,)</f>
        <v>8</v>
      </c>
      <c r="AM20" s="23">
        <f>+AL20</f>
        <v>8</v>
      </c>
      <c r="AN20" s="23">
        <v>2</v>
      </c>
      <c r="AO20" s="30">
        <f>SUM(E20+M20+AN20+AC20+U20+AK20+AM20)</f>
        <v>168</v>
      </c>
    </row>
    <row r="21" spans="2:50">
      <c r="B21" s="29" t="str">
        <f>+B15</f>
        <v>AURORA ISABEL CARRILLO GALEANO</v>
      </c>
      <c r="C21" s="23">
        <f>VLOOKUP(C15,$D$33:$U$40,18,FALSE)</f>
        <v>0</v>
      </c>
      <c r="D21" s="28">
        <f>VLOOKUP(D15,$D$33:$U$40,18,FALSE)</f>
        <v>0</v>
      </c>
      <c r="E21" s="23">
        <f>SUM(C21:D21)</f>
        <v>0</v>
      </c>
      <c r="F21" s="18">
        <f>VLOOKUP(F15,D31:V41,18,)</f>
        <v>8</v>
      </c>
      <c r="G21" s="23">
        <f>VLOOKUP(G15,D31:W59,18,)</f>
        <v>8</v>
      </c>
      <c r="H21" s="23">
        <f>VLOOKUP(H15,D31:V59,18,)</f>
        <v>8</v>
      </c>
      <c r="I21" s="18">
        <f>VLOOKUP(I15,D31:V59,18,)</f>
        <v>8</v>
      </c>
      <c r="J21" s="20">
        <f>VLOOKUP(J15,D31:V40,18,)</f>
        <v>0</v>
      </c>
      <c r="K21" s="23">
        <f>VLOOKUP(K15,D17:V40,18,)</f>
        <v>5</v>
      </c>
      <c r="L21" s="28">
        <f>VLOOKUP(L15,D17:V40,18,)</f>
        <v>0</v>
      </c>
      <c r="M21" s="22">
        <f t="shared" ref="M21" si="1">SUM(F21:L21)</f>
        <v>37</v>
      </c>
      <c r="N21" s="23">
        <f>VLOOKUP(N15,D31:V60,18,)</f>
        <v>9</v>
      </c>
      <c r="O21" s="23">
        <f>VLOOKUP(O15,D31:V41,18,)</f>
        <v>9</v>
      </c>
      <c r="P21" s="23">
        <f>VLOOKUP(P15,D31:V40,18,)</f>
        <v>9</v>
      </c>
      <c r="Q21" s="23">
        <f>VLOOKUP(Q15,D31:X59,18,)</f>
        <v>9</v>
      </c>
      <c r="R21" s="23">
        <f>VLOOKUP(R15,D31:Y59,18,)</f>
        <v>8</v>
      </c>
      <c r="S21" s="23">
        <f>VLOOKUP(S15,D31:V41,18,)</f>
        <v>0</v>
      </c>
      <c r="T21" s="28">
        <f>VLOOKUP(T15,D32:V41,18,)</f>
        <v>0</v>
      </c>
      <c r="U21" s="23">
        <f t="shared" ref="U21" si="2">SUM(N21:T21)</f>
        <v>44</v>
      </c>
      <c r="V21" s="20">
        <f>VLOOKUP(V15,D17:V41,18,)</f>
        <v>0</v>
      </c>
      <c r="W21" s="23">
        <f>VLOOKUP(W15,D31:V40,18,)</f>
        <v>8</v>
      </c>
      <c r="X21" s="23">
        <f>VLOOKUP(X15,D32:V41,18,)</f>
        <v>8</v>
      </c>
      <c r="Y21" s="23">
        <f>VLOOKUP(Y15,D31:V40,18,)</f>
        <v>8</v>
      </c>
      <c r="Z21" s="23">
        <f>VLOOKUP(Z15,D31:V40,18,)</f>
        <v>8</v>
      </c>
      <c r="AA21" s="23">
        <f>VLOOKUP(AA15,D31:V40,18,)</f>
        <v>5</v>
      </c>
      <c r="AB21" s="28">
        <f>VLOOKUP(AB15,D31:V41,18,)</f>
        <v>0</v>
      </c>
      <c r="AC21" s="23">
        <f t="shared" si="0"/>
        <v>37</v>
      </c>
      <c r="AD21" s="23">
        <f>VLOOKUP(AD15,D31:V59,18,)</f>
        <v>8</v>
      </c>
      <c r="AE21" s="23">
        <f>VLOOKUP(AE15,D31:V59,18,)</f>
        <v>8</v>
      </c>
      <c r="AF21" s="23">
        <f>VLOOKUP(AF15,D31:V59,18,)</f>
        <v>8</v>
      </c>
      <c r="AG21" s="23">
        <f>VLOOKUP(AG15,D31:V41,18,)</f>
        <v>8</v>
      </c>
      <c r="AH21" s="23">
        <f>VLOOKUP(AH15,D31:V40,18,)</f>
        <v>8</v>
      </c>
      <c r="AI21" s="23">
        <f>VLOOKUP(AI15,D31:V41,18,)</f>
        <v>0</v>
      </c>
      <c r="AJ21" s="20">
        <f>VLOOKUP(AJ15,D18:V41,18,)</f>
        <v>0</v>
      </c>
      <c r="AK21" s="23">
        <f t="shared" ref="AK21" si="3">SUM(AD21:AJ21)</f>
        <v>40</v>
      </c>
      <c r="AL21" s="23">
        <f>VLOOKUP(AL15,D31:V41,18,)</f>
        <v>8</v>
      </c>
      <c r="AM21" s="23">
        <f t="shared" ref="AM21" si="4">+AL21</f>
        <v>8</v>
      </c>
      <c r="AN21" s="23">
        <v>2</v>
      </c>
      <c r="AO21" s="30">
        <f t="shared" ref="AO21" si="5">SUM(E21+M21+AN21+AC21+U21+AK21+AM21)</f>
        <v>168</v>
      </c>
    </row>
    <row r="22" spans="2:50" s="35" customFormat="1" ht="16.5" customHeight="1">
      <c r="B22" s="31" t="s">
        <v>18</v>
      </c>
      <c r="C22" s="23">
        <f>SUM(C20:C21)</f>
        <v>0</v>
      </c>
      <c r="D22" s="32">
        <f>SUM(D20:D21)</f>
        <v>0</v>
      </c>
      <c r="E22" s="23"/>
      <c r="F22" s="18">
        <f t="shared" ref="F22:L22" si="6">SUM(F20:F21)</f>
        <v>17</v>
      </c>
      <c r="G22" s="23">
        <f t="shared" si="6"/>
        <v>17</v>
      </c>
      <c r="H22" s="23">
        <f t="shared" si="6"/>
        <v>17</v>
      </c>
      <c r="I22" s="23">
        <f t="shared" si="6"/>
        <v>14.5</v>
      </c>
      <c r="J22" s="19">
        <f t="shared" si="6"/>
        <v>0</v>
      </c>
      <c r="K22" s="23">
        <f t="shared" si="6"/>
        <v>10</v>
      </c>
      <c r="L22" s="32">
        <f t="shared" si="6"/>
        <v>0</v>
      </c>
      <c r="M22" s="23"/>
      <c r="N22" s="23">
        <f t="shared" ref="N22:T22" si="7">SUM(N20:N21)</f>
        <v>18</v>
      </c>
      <c r="O22" s="23">
        <f t="shared" si="7"/>
        <v>18</v>
      </c>
      <c r="P22" s="23">
        <f t="shared" si="7"/>
        <v>18</v>
      </c>
      <c r="Q22" s="23">
        <f t="shared" si="7"/>
        <v>15.5</v>
      </c>
      <c r="R22" s="23">
        <f t="shared" si="7"/>
        <v>17</v>
      </c>
      <c r="S22" s="23">
        <f t="shared" si="7"/>
        <v>0</v>
      </c>
      <c r="T22" s="32">
        <f t="shared" si="7"/>
        <v>0</v>
      </c>
      <c r="U22" s="23"/>
      <c r="V22" s="19">
        <f t="shared" ref="V22:AB22" si="8">SUM(V20:V21)</f>
        <v>0</v>
      </c>
      <c r="W22" s="23">
        <f t="shared" si="8"/>
        <v>17</v>
      </c>
      <c r="X22" s="23">
        <f t="shared" si="8"/>
        <v>17</v>
      </c>
      <c r="Y22" s="23">
        <f t="shared" si="8"/>
        <v>14.5</v>
      </c>
      <c r="Z22" s="23">
        <f t="shared" si="8"/>
        <v>17</v>
      </c>
      <c r="AA22" s="23">
        <f t="shared" si="8"/>
        <v>9</v>
      </c>
      <c r="AB22" s="32">
        <f t="shared" si="8"/>
        <v>0</v>
      </c>
      <c r="AC22" s="23"/>
      <c r="AD22" s="23">
        <f t="shared" ref="AD22:AJ22" si="9">SUM(AD20:AD21)</f>
        <v>17</v>
      </c>
      <c r="AE22" s="23">
        <f t="shared" si="9"/>
        <v>16</v>
      </c>
      <c r="AF22" s="23">
        <f t="shared" si="9"/>
        <v>16</v>
      </c>
      <c r="AG22" s="23">
        <f t="shared" si="9"/>
        <v>14.5</v>
      </c>
      <c r="AH22" s="23">
        <f t="shared" si="9"/>
        <v>16</v>
      </c>
      <c r="AI22" s="23">
        <f t="shared" si="9"/>
        <v>0</v>
      </c>
      <c r="AJ22" s="19">
        <f t="shared" si="9"/>
        <v>0</v>
      </c>
      <c r="AK22" s="23"/>
      <c r="AL22" s="23">
        <f>SUM(AL20:AL21)</f>
        <v>16</v>
      </c>
      <c r="AM22" s="23"/>
      <c r="AN22" s="33">
        <f>SUM(AN20:AN21)</f>
        <v>4</v>
      </c>
      <c r="AO22" s="34"/>
    </row>
    <row r="23" spans="2:50" s="35" customFormat="1" ht="21" customHeight="1">
      <c r="AU23" s="36"/>
    </row>
    <row r="24" spans="2:50" s="35" customFormat="1">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7"/>
      <c r="AV24" s="36"/>
      <c r="AW24" s="36"/>
      <c r="AX24" s="36"/>
    </row>
    <row r="25" spans="2:50" s="35" customFormat="1" ht="14.25" customHeight="1">
      <c r="B25" s="463" t="s">
        <v>19</v>
      </c>
      <c r="C25" s="463"/>
      <c r="D25" s="463"/>
      <c r="E25" s="463"/>
      <c r="F25" s="463"/>
      <c r="G25" s="463"/>
      <c r="H25" s="463"/>
      <c r="I25" s="463"/>
      <c r="J25" s="463"/>
      <c r="K25" s="463"/>
      <c r="L25" s="463"/>
      <c r="M25" s="463"/>
      <c r="N25" s="463"/>
      <c r="O25" s="463"/>
      <c r="P25" s="463"/>
      <c r="Q25" s="463"/>
      <c r="R25" s="463"/>
      <c r="S25" s="463"/>
      <c r="T25" s="463"/>
      <c r="U25" s="463"/>
      <c r="V25" s="463"/>
      <c r="W25" s="463"/>
      <c r="X25" s="463"/>
      <c r="Y25" s="463"/>
      <c r="Z25" s="463"/>
      <c r="AA25" s="463"/>
      <c r="AB25" s="463"/>
      <c r="AC25" s="463"/>
      <c r="AD25" s="463"/>
      <c r="AE25" s="463"/>
      <c r="AF25" s="463"/>
      <c r="AG25" s="463"/>
      <c r="AH25" s="463"/>
      <c r="AI25" s="463"/>
      <c r="AJ25" s="463"/>
      <c r="AK25" s="463"/>
      <c r="AL25" s="463"/>
      <c r="AM25" s="463"/>
      <c r="AN25" s="463"/>
      <c r="AO25" s="463"/>
      <c r="AP25" s="79"/>
      <c r="AQ25" s="79"/>
      <c r="AR25" s="79"/>
      <c r="AS25" s="79"/>
      <c r="AT25" s="79"/>
      <c r="AU25" s="37"/>
      <c r="AV25" s="37"/>
      <c r="AW25" s="37"/>
      <c r="AX25" s="37"/>
    </row>
    <row r="26" spans="2:50" s="35" customFormat="1" ht="14.25" customHeight="1">
      <c r="B26" s="463"/>
      <c r="C26" s="463"/>
      <c r="D26" s="463"/>
      <c r="E26" s="463"/>
      <c r="F26" s="463"/>
      <c r="G26" s="463"/>
      <c r="H26" s="463"/>
      <c r="I26" s="463"/>
      <c r="J26" s="463"/>
      <c r="K26" s="463"/>
      <c r="L26" s="463"/>
      <c r="M26" s="463"/>
      <c r="N26" s="463"/>
      <c r="O26" s="463"/>
      <c r="P26" s="463"/>
      <c r="Q26" s="463"/>
      <c r="R26" s="463"/>
      <c r="S26" s="463"/>
      <c r="T26" s="463"/>
      <c r="U26" s="463"/>
      <c r="V26" s="463"/>
      <c r="W26" s="463"/>
      <c r="X26" s="463"/>
      <c r="Y26" s="463"/>
      <c r="Z26" s="463"/>
      <c r="AA26" s="463"/>
      <c r="AB26" s="463"/>
      <c r="AC26" s="463"/>
      <c r="AD26" s="463"/>
      <c r="AE26" s="463"/>
      <c r="AF26" s="463"/>
      <c r="AG26" s="463"/>
      <c r="AH26" s="463"/>
      <c r="AI26" s="463"/>
      <c r="AJ26" s="463"/>
      <c r="AK26" s="463"/>
      <c r="AL26" s="463"/>
      <c r="AM26" s="463"/>
      <c r="AN26" s="463"/>
      <c r="AO26" s="463"/>
      <c r="AP26" s="79"/>
      <c r="AQ26" s="79"/>
      <c r="AR26" s="79"/>
      <c r="AS26" s="79"/>
      <c r="AT26" s="79"/>
      <c r="AU26" s="37"/>
      <c r="AV26" s="37"/>
      <c r="AW26" s="37"/>
      <c r="AX26" s="37"/>
    </row>
    <row r="27" spans="2:50" s="35" customFormat="1" ht="19.5" customHeight="1">
      <c r="B27" s="463"/>
      <c r="C27" s="463"/>
      <c r="D27" s="463"/>
      <c r="E27" s="463"/>
      <c r="F27" s="463"/>
      <c r="G27" s="463"/>
      <c r="H27" s="463"/>
      <c r="I27" s="463"/>
      <c r="J27" s="463"/>
      <c r="K27" s="463"/>
      <c r="L27" s="463"/>
      <c r="M27" s="463"/>
      <c r="N27" s="463"/>
      <c r="O27" s="463"/>
      <c r="P27" s="463"/>
      <c r="Q27" s="463"/>
      <c r="R27" s="463"/>
      <c r="S27" s="463"/>
      <c r="T27" s="463"/>
      <c r="U27" s="463"/>
      <c r="V27" s="463"/>
      <c r="W27" s="463"/>
      <c r="X27" s="463"/>
      <c r="Y27" s="463"/>
      <c r="Z27" s="463"/>
      <c r="AA27" s="463"/>
      <c r="AB27" s="463"/>
      <c r="AC27" s="463"/>
      <c r="AD27" s="463"/>
      <c r="AE27" s="463"/>
      <c r="AF27" s="463"/>
      <c r="AG27" s="463"/>
      <c r="AH27" s="463"/>
      <c r="AI27" s="463"/>
      <c r="AJ27" s="463"/>
      <c r="AK27" s="463"/>
      <c r="AL27" s="463"/>
      <c r="AM27" s="463"/>
      <c r="AN27" s="463"/>
      <c r="AO27" s="463"/>
      <c r="AP27" s="79"/>
      <c r="AQ27" s="79"/>
      <c r="AR27" s="79"/>
      <c r="AS27" s="79"/>
      <c r="AT27" s="79"/>
      <c r="AU27" s="38"/>
      <c r="AV27" s="37"/>
      <c r="AW27" s="37"/>
      <c r="AX27" s="37"/>
    </row>
    <row r="28" spans="2:50" s="35" customFormat="1" ht="14.15" customHeight="1">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9"/>
      <c r="AV28" s="38"/>
      <c r="AW28" s="38"/>
      <c r="AX28" s="38"/>
    </row>
    <row r="29" spans="2:50" s="35" customFormat="1" ht="14.15" customHeight="1">
      <c r="B29" s="38"/>
      <c r="C29" s="38"/>
      <c r="D29" s="39"/>
      <c r="E29" s="39"/>
      <c r="F29" s="39"/>
      <c r="G29" s="39"/>
      <c r="H29" s="39"/>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40"/>
      <c r="AV29" s="39"/>
      <c r="AW29" s="39"/>
      <c r="AX29" s="39"/>
    </row>
    <row r="30" spans="2:50" s="35" customFormat="1" ht="14.15" customHeight="1">
      <c r="B30" s="41"/>
      <c r="C30" s="41"/>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42"/>
      <c r="AV30" s="39"/>
      <c r="AW30" s="39"/>
      <c r="AX30" s="39"/>
    </row>
    <row r="31" spans="2:50" s="35" customFormat="1" ht="19.399999999999999" customHeight="1">
      <c r="B31" s="41"/>
      <c r="C31" s="41"/>
      <c r="D31" s="512" t="s">
        <v>20</v>
      </c>
      <c r="E31" s="513"/>
      <c r="F31" s="513"/>
      <c r="G31" s="513"/>
      <c r="H31" s="513"/>
      <c r="I31" s="513"/>
      <c r="J31" s="513"/>
      <c r="K31" s="513"/>
      <c r="L31" s="513"/>
      <c r="M31" s="513"/>
      <c r="N31" s="513"/>
      <c r="O31" s="513"/>
      <c r="P31" s="513"/>
      <c r="Q31" s="513"/>
      <c r="R31" s="513"/>
      <c r="S31" s="513"/>
      <c r="T31" s="513"/>
      <c r="U31" s="513"/>
      <c r="V31" s="514"/>
      <c r="W31" s="39"/>
      <c r="X31" s="39"/>
      <c r="Y31" s="39"/>
      <c r="Z31" s="43"/>
      <c r="AA31" s="43"/>
      <c r="AB31" s="43"/>
      <c r="AC31" s="43"/>
      <c r="AD31" s="43"/>
      <c r="AE31" s="43"/>
      <c r="AF31" s="43"/>
      <c r="AG31" s="43"/>
      <c r="AH31" s="42"/>
      <c r="AI31" s="42"/>
      <c r="AJ31" s="42"/>
      <c r="AK31" s="42"/>
      <c r="AL31" s="42"/>
      <c r="AM31" s="42"/>
      <c r="AN31" s="42"/>
      <c r="AO31" s="42"/>
      <c r="AP31" s="42"/>
      <c r="AQ31" s="42"/>
      <c r="AR31" s="42"/>
      <c r="AS31" s="42"/>
      <c r="AT31" s="42"/>
      <c r="AU31" s="42"/>
      <c r="AV31" s="43"/>
      <c r="AW31" s="43"/>
      <c r="AX31" s="43"/>
    </row>
    <row r="32" spans="2:50" s="35" customFormat="1" ht="29.5" customHeight="1">
      <c r="B32" s="41"/>
      <c r="C32" s="41"/>
      <c r="D32" s="515" t="s">
        <v>21</v>
      </c>
      <c r="E32" s="515"/>
      <c r="F32" s="515"/>
      <c r="G32" s="515"/>
      <c r="H32" s="515"/>
      <c r="I32" s="515"/>
      <c r="J32" s="515"/>
      <c r="K32" s="515"/>
      <c r="L32" s="515"/>
      <c r="M32" s="516" t="s">
        <v>22</v>
      </c>
      <c r="N32" s="516"/>
      <c r="O32" s="516" t="s">
        <v>23</v>
      </c>
      <c r="P32" s="516"/>
      <c r="Q32" s="516" t="s">
        <v>24</v>
      </c>
      <c r="R32" s="516"/>
      <c r="S32" s="516" t="s">
        <v>23</v>
      </c>
      <c r="T32" s="516"/>
      <c r="U32" s="515" t="s">
        <v>25</v>
      </c>
      <c r="V32" s="515"/>
      <c r="W32" s="39"/>
      <c r="X32" s="39"/>
      <c r="Y32" s="39"/>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row>
    <row r="33" spans="2:50" s="35" customFormat="1" ht="14.25" customHeight="1">
      <c r="B33" s="41"/>
      <c r="C33" s="41"/>
      <c r="D33" s="3" t="s">
        <v>13</v>
      </c>
      <c r="E33" s="517" t="s">
        <v>27</v>
      </c>
      <c r="F33" s="517"/>
      <c r="G33" s="517"/>
      <c r="H33" s="517"/>
      <c r="I33" s="517"/>
      <c r="J33" s="517"/>
      <c r="K33" s="517"/>
      <c r="L33" s="517"/>
      <c r="M33" s="498">
        <v>0.33333333333333298</v>
      </c>
      <c r="N33" s="499"/>
      <c r="O33" s="500">
        <v>0.5</v>
      </c>
      <c r="P33" s="501"/>
      <c r="Q33" s="500">
        <v>0.54166666666666696</v>
      </c>
      <c r="R33" s="501"/>
      <c r="S33" s="500">
        <v>0.70833333333333304</v>
      </c>
      <c r="T33" s="501"/>
      <c r="U33" s="511">
        <v>8</v>
      </c>
      <c r="V33" s="511"/>
      <c r="W33" s="45"/>
      <c r="X33" s="45"/>
      <c r="Y33" s="45"/>
      <c r="Z33" s="43"/>
      <c r="AA33" s="43"/>
      <c r="AB33" s="43"/>
      <c r="AC33" s="43"/>
      <c r="AD33" s="43"/>
      <c r="AE33" s="42"/>
      <c r="AF33" s="43"/>
      <c r="AG33" s="43"/>
      <c r="AH33" s="43"/>
      <c r="AI33" s="43"/>
      <c r="AJ33" s="43"/>
      <c r="AK33" s="43"/>
      <c r="AL33" s="43"/>
      <c r="AM33" s="43"/>
      <c r="AN33" s="43"/>
      <c r="AO33" s="43"/>
      <c r="AP33" s="43"/>
      <c r="AQ33" s="43"/>
      <c r="AR33" s="43"/>
      <c r="AS33" s="43"/>
      <c r="AT33" s="43"/>
      <c r="AU33" s="15"/>
      <c r="AV33" s="43"/>
      <c r="AW33" s="43"/>
      <c r="AX33" s="43"/>
    </row>
    <row r="34" spans="2:50" s="35" customFormat="1" ht="14.25" customHeight="1">
      <c r="B34" s="41"/>
      <c r="C34" s="41"/>
      <c r="D34" s="12" t="s">
        <v>17</v>
      </c>
      <c r="E34" s="506" t="s">
        <v>55</v>
      </c>
      <c r="F34" s="507"/>
      <c r="G34" s="507"/>
      <c r="H34" s="507"/>
      <c r="I34" s="507"/>
      <c r="J34" s="507"/>
      <c r="K34" s="507"/>
      <c r="L34" s="508"/>
      <c r="M34" s="498">
        <v>0.3125</v>
      </c>
      <c r="N34" s="499"/>
      <c r="O34" s="500">
        <v>0.54166666666666663</v>
      </c>
      <c r="P34" s="501"/>
      <c r="Q34" s="500">
        <v>0.58333333333333337</v>
      </c>
      <c r="R34" s="501"/>
      <c r="S34" s="500">
        <v>0.625</v>
      </c>
      <c r="T34" s="501"/>
      <c r="U34" s="510">
        <v>6.5</v>
      </c>
      <c r="V34" s="510"/>
      <c r="W34" s="45"/>
      <c r="X34" s="45"/>
      <c r="Y34" s="45"/>
      <c r="Z34" s="46"/>
      <c r="AA34" s="15"/>
      <c r="AB34" s="15"/>
      <c r="AC34" s="15"/>
      <c r="AD34" s="15"/>
      <c r="AE34" s="15"/>
      <c r="AF34" s="15"/>
      <c r="AG34" s="15"/>
      <c r="AH34" s="15"/>
      <c r="AI34" s="15"/>
      <c r="AJ34" s="15"/>
      <c r="AK34" s="15"/>
      <c r="AL34" s="47"/>
      <c r="AM34" s="47"/>
      <c r="AN34" s="15"/>
      <c r="AO34" s="47"/>
      <c r="AP34" s="15"/>
      <c r="AQ34" s="15"/>
      <c r="AR34" s="15"/>
      <c r="AS34" s="15"/>
      <c r="AT34" s="15"/>
      <c r="AU34" s="15"/>
      <c r="AV34" s="15"/>
      <c r="AW34" s="15"/>
      <c r="AX34" s="15"/>
    </row>
    <row r="35" spans="2:50" s="35" customFormat="1" ht="14.25" customHeight="1">
      <c r="B35" s="41"/>
      <c r="C35" s="41"/>
      <c r="D35" s="12" t="s">
        <v>33</v>
      </c>
      <c r="E35" s="506" t="s">
        <v>54</v>
      </c>
      <c r="F35" s="507"/>
      <c r="G35" s="507"/>
      <c r="H35" s="507"/>
      <c r="I35" s="507"/>
      <c r="J35" s="507"/>
      <c r="K35" s="507"/>
      <c r="L35" s="508"/>
      <c r="M35" s="498">
        <v>0.29166666666666702</v>
      </c>
      <c r="N35" s="499"/>
      <c r="O35" s="500">
        <v>0.5</v>
      </c>
      <c r="P35" s="501"/>
      <c r="Q35" s="500">
        <v>0.54166666666666696</v>
      </c>
      <c r="R35" s="501"/>
      <c r="S35" s="500">
        <v>0.66666666666666696</v>
      </c>
      <c r="T35" s="501"/>
      <c r="U35" s="511">
        <v>8</v>
      </c>
      <c r="V35" s="511"/>
      <c r="W35" s="45"/>
      <c r="X35" s="45"/>
      <c r="Y35" s="45"/>
      <c r="Z35" s="46"/>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row>
    <row r="36" spans="2:50" s="35" customFormat="1" ht="14.25" customHeight="1">
      <c r="B36" s="41"/>
      <c r="C36" s="41"/>
      <c r="D36" s="12" t="s">
        <v>32</v>
      </c>
      <c r="E36" s="11" t="s">
        <v>53</v>
      </c>
      <c r="F36" s="10"/>
      <c r="G36" s="10"/>
      <c r="H36" s="10"/>
      <c r="I36" s="10"/>
      <c r="J36" s="10"/>
      <c r="K36" s="10"/>
      <c r="L36" s="9"/>
      <c r="M36" s="498">
        <v>0.3125</v>
      </c>
      <c r="N36" s="499"/>
      <c r="O36" s="500">
        <v>0.5</v>
      </c>
      <c r="P36" s="501"/>
      <c r="Q36" s="500">
        <v>0.54166666666666696</v>
      </c>
      <c r="R36" s="501"/>
      <c r="S36" s="500">
        <v>0.72916666666666696</v>
      </c>
      <c r="T36" s="501"/>
      <c r="U36" s="502">
        <v>9</v>
      </c>
      <c r="V36" s="503"/>
      <c r="W36" s="45"/>
      <c r="X36" s="45"/>
      <c r="Y36" s="45"/>
      <c r="Z36" s="46"/>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row>
    <row r="37" spans="2:50" s="35" customFormat="1" ht="14.25" customHeight="1">
      <c r="B37" s="41"/>
      <c r="C37" s="41"/>
      <c r="D37" s="12" t="s">
        <v>38</v>
      </c>
      <c r="E37" s="506" t="s">
        <v>52</v>
      </c>
      <c r="F37" s="507"/>
      <c r="G37" s="507"/>
      <c r="H37" s="507"/>
      <c r="I37" s="507"/>
      <c r="J37" s="507"/>
      <c r="K37" s="507"/>
      <c r="L37" s="508"/>
      <c r="M37" s="498">
        <v>0.33333333333333298</v>
      </c>
      <c r="N37" s="499"/>
      <c r="O37" s="500">
        <v>0.54166666666666696</v>
      </c>
      <c r="P37" s="501"/>
      <c r="Q37" s="500"/>
      <c r="R37" s="501"/>
      <c r="S37" s="500"/>
      <c r="T37" s="501"/>
      <c r="U37" s="504">
        <v>5</v>
      </c>
      <c r="V37" s="505"/>
      <c r="W37" s="45"/>
      <c r="X37" s="49"/>
      <c r="Y37" s="49"/>
      <c r="Z37" s="46"/>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row>
    <row r="38" spans="2:50" s="35" customFormat="1" ht="14.25" customHeight="1">
      <c r="B38" s="41"/>
      <c r="C38" s="41"/>
      <c r="D38" s="12" t="s">
        <v>37</v>
      </c>
      <c r="E38" s="506" t="s">
        <v>51</v>
      </c>
      <c r="F38" s="507"/>
      <c r="G38" s="507"/>
      <c r="H38" s="507"/>
      <c r="I38" s="507"/>
      <c r="J38" s="507"/>
      <c r="K38" s="507"/>
      <c r="L38" s="508"/>
      <c r="M38" s="498">
        <v>0.33333333333333331</v>
      </c>
      <c r="N38" s="499"/>
      <c r="O38" s="500">
        <v>0.5</v>
      </c>
      <c r="P38" s="501"/>
      <c r="Q38" s="500"/>
      <c r="R38" s="501"/>
      <c r="S38" s="500"/>
      <c r="T38" s="501"/>
      <c r="U38" s="504">
        <v>4</v>
      </c>
      <c r="V38" s="505"/>
      <c r="W38" s="45"/>
      <c r="X38" s="49"/>
      <c r="Y38" s="49"/>
      <c r="Z38" s="46"/>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row>
    <row r="39" spans="2:50" s="35" customFormat="1">
      <c r="B39" s="41"/>
      <c r="C39" s="41"/>
      <c r="D39" s="8" t="s">
        <v>8</v>
      </c>
      <c r="E39" s="509" t="s">
        <v>28</v>
      </c>
      <c r="F39" s="509"/>
      <c r="G39" s="509"/>
      <c r="H39" s="509"/>
      <c r="I39" s="509"/>
      <c r="J39" s="509"/>
      <c r="K39" s="509"/>
      <c r="L39" s="509"/>
      <c r="M39" s="509"/>
      <c r="N39" s="509"/>
      <c r="O39" s="509"/>
      <c r="P39" s="509"/>
      <c r="Q39" s="509"/>
      <c r="R39" s="509"/>
      <c r="S39" s="509"/>
      <c r="T39" s="509"/>
      <c r="U39" s="493">
        <v>0</v>
      </c>
      <c r="V39" s="493"/>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row>
    <row r="40" spans="2:50" s="35" customFormat="1">
      <c r="B40" s="41"/>
      <c r="C40" s="41"/>
      <c r="D40" s="2" t="s">
        <v>15</v>
      </c>
      <c r="E40" s="494" t="s">
        <v>29</v>
      </c>
      <c r="F40" s="495"/>
      <c r="G40" s="495"/>
      <c r="H40" s="495"/>
      <c r="I40" s="495"/>
      <c r="J40" s="495"/>
      <c r="K40" s="495"/>
      <c r="L40" s="495"/>
      <c r="M40" s="495"/>
      <c r="N40" s="495"/>
      <c r="O40" s="495"/>
      <c r="P40" s="495"/>
      <c r="Q40" s="495"/>
      <c r="R40" s="495"/>
      <c r="S40" s="495"/>
      <c r="T40" s="496"/>
      <c r="U40" s="497">
        <v>3</v>
      </c>
      <c r="V40" s="497"/>
      <c r="W40" s="50"/>
      <c r="X40" s="50"/>
      <c r="Y40" s="50"/>
      <c r="Z40" s="50"/>
      <c r="AA40" s="50"/>
      <c r="AB40" s="50"/>
      <c r="AC40" s="50"/>
      <c r="AD40" s="50"/>
      <c r="AE40" s="50"/>
      <c r="AF40" s="50"/>
      <c r="AG40" s="50"/>
      <c r="AH40" s="50"/>
      <c r="AI40" s="50"/>
      <c r="AJ40" s="50"/>
      <c r="AK40" s="50"/>
      <c r="AL40" s="50"/>
      <c r="AM40" s="50"/>
      <c r="AN40" s="50"/>
      <c r="AO40" s="50"/>
      <c r="AP40" s="50"/>
      <c r="AQ40" s="50"/>
      <c r="AR40" s="50"/>
      <c r="AS40" s="50"/>
      <c r="AT40" s="50"/>
      <c r="AU40" s="50"/>
      <c r="AV40" s="50"/>
      <c r="AW40" s="50"/>
      <c r="AX40" s="50"/>
    </row>
    <row r="41" spans="2:50" s="35" customFormat="1">
      <c r="B41" s="41"/>
      <c r="C41" s="41"/>
      <c r="D41" s="2" t="s">
        <v>15</v>
      </c>
      <c r="E41" s="494" t="s">
        <v>29</v>
      </c>
      <c r="F41" s="495"/>
      <c r="G41" s="495"/>
      <c r="H41" s="495"/>
      <c r="I41" s="495"/>
      <c r="J41" s="495"/>
      <c r="K41" s="495"/>
      <c r="L41" s="495"/>
      <c r="M41" s="495"/>
      <c r="N41" s="495"/>
      <c r="O41" s="495"/>
      <c r="P41" s="495"/>
      <c r="Q41" s="495"/>
      <c r="R41" s="495"/>
      <c r="S41" s="495"/>
      <c r="T41" s="496"/>
      <c r="U41" s="497">
        <v>2</v>
      </c>
      <c r="V41" s="497"/>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13"/>
      <c r="AV41" s="50"/>
      <c r="AW41" s="50"/>
      <c r="AX41" s="50"/>
    </row>
    <row r="42" spans="2:50" s="35" customFormat="1">
      <c r="B42" s="41"/>
      <c r="C42" s="41"/>
      <c r="D42" s="76"/>
      <c r="E42" s="77"/>
      <c r="F42" s="77"/>
      <c r="G42" s="77"/>
      <c r="H42" s="77"/>
      <c r="I42" s="77"/>
      <c r="J42" s="77"/>
      <c r="K42" s="77"/>
      <c r="L42" s="77"/>
      <c r="M42" s="77"/>
      <c r="N42" s="77"/>
      <c r="O42" s="77"/>
      <c r="P42" s="77"/>
      <c r="Q42" s="77"/>
      <c r="R42" s="77"/>
      <c r="S42" s="77"/>
      <c r="T42" s="77"/>
      <c r="U42" s="78"/>
      <c r="V42" s="78"/>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13"/>
      <c r="AV42" s="50"/>
      <c r="AW42" s="50"/>
      <c r="AX42" s="50"/>
    </row>
    <row r="43" spans="2:50" s="35" customFormat="1">
      <c r="B43" s="41"/>
      <c r="C43" s="41"/>
      <c r="D43" s="76"/>
      <c r="E43" s="77"/>
      <c r="F43" s="77"/>
      <c r="G43" s="77"/>
      <c r="H43" s="77"/>
      <c r="I43" s="77"/>
      <c r="J43" s="77"/>
      <c r="K43" s="77"/>
      <c r="L43" s="77"/>
      <c r="M43" s="77"/>
      <c r="N43" s="77"/>
      <c r="O43" s="77"/>
      <c r="P43" s="77"/>
      <c r="Q43" s="77"/>
      <c r="R43" s="77"/>
      <c r="S43" s="77"/>
      <c r="T43" s="77"/>
      <c r="U43" s="78"/>
      <c r="V43" s="78"/>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13"/>
      <c r="AV43" s="50"/>
      <c r="AW43" s="50"/>
      <c r="AX43" s="50"/>
    </row>
    <row r="44" spans="2:50" s="35" customFormat="1">
      <c r="B44" s="41"/>
      <c r="C44" s="41"/>
      <c r="D44" s="76"/>
      <c r="E44" s="77"/>
      <c r="F44" s="77"/>
      <c r="G44" s="77"/>
      <c r="H44" s="77"/>
      <c r="I44" s="77"/>
      <c r="J44" s="77"/>
      <c r="K44" s="77"/>
      <c r="L44" s="77"/>
      <c r="M44" s="77"/>
      <c r="N44" s="77"/>
      <c r="O44" s="77"/>
      <c r="P44" s="77"/>
      <c r="Q44" s="77"/>
      <c r="R44" s="77"/>
      <c r="S44" s="77"/>
      <c r="T44" s="77"/>
      <c r="U44" s="78"/>
      <c r="V44" s="78"/>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13"/>
      <c r="AV44" s="50"/>
      <c r="AW44" s="50"/>
      <c r="AX44" s="50"/>
    </row>
    <row r="45" spans="2:50" s="35" customFormat="1">
      <c r="B45" s="41"/>
      <c r="C45" s="41"/>
      <c r="D45" s="76"/>
      <c r="E45" s="77"/>
      <c r="F45" s="77"/>
      <c r="G45" s="77"/>
      <c r="H45" s="77"/>
      <c r="I45" s="77"/>
      <c r="J45" s="77"/>
      <c r="K45" s="77"/>
      <c r="L45" s="77"/>
      <c r="M45" s="77"/>
      <c r="N45" s="77"/>
      <c r="O45" s="77"/>
      <c r="P45" s="77"/>
      <c r="Q45" s="77"/>
      <c r="R45" s="77"/>
      <c r="S45" s="77"/>
      <c r="T45" s="77"/>
      <c r="U45" s="78"/>
      <c r="V45" s="78"/>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13"/>
      <c r="AV45" s="50"/>
      <c r="AW45" s="50"/>
      <c r="AX45" s="50"/>
    </row>
    <row r="46" spans="2:50" s="35" customFormat="1">
      <c r="B46" s="41"/>
      <c r="C46" s="41"/>
      <c r="D46" s="76"/>
      <c r="E46" s="77"/>
      <c r="F46" s="77"/>
      <c r="G46" s="77"/>
      <c r="H46" s="77"/>
      <c r="I46" s="77"/>
      <c r="J46" s="77"/>
      <c r="K46" s="77"/>
      <c r="L46" s="77"/>
      <c r="M46" s="77"/>
      <c r="N46" s="77"/>
      <c r="O46" s="77"/>
      <c r="P46" s="77"/>
      <c r="Q46" s="77"/>
      <c r="R46" s="77"/>
      <c r="S46" s="77"/>
      <c r="T46" s="77"/>
      <c r="U46" s="78"/>
      <c r="V46" s="78"/>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13"/>
      <c r="AV46" s="50"/>
      <c r="AW46" s="50"/>
      <c r="AX46" s="50"/>
    </row>
    <row r="47" spans="2:50" s="35" customFormat="1">
      <c r="E47" s="53"/>
      <c r="F47" s="53"/>
      <c r="G47" s="53"/>
      <c r="H47" s="53"/>
      <c r="I47" s="53"/>
      <c r="J47" s="53"/>
      <c r="K47" s="53"/>
      <c r="L47" s="53"/>
      <c r="M47" s="53"/>
      <c r="N47" s="53"/>
      <c r="O47" s="53"/>
      <c r="P47" s="53"/>
      <c r="Q47" s="53"/>
      <c r="R47" s="53"/>
      <c r="S47" s="53"/>
      <c r="T47" s="53"/>
      <c r="U47" s="54"/>
      <c r="V47" s="50"/>
      <c r="W47" s="16"/>
      <c r="AP47" s="55"/>
      <c r="AQ47" s="55"/>
      <c r="AR47" s="55"/>
      <c r="AS47" s="55"/>
      <c r="AT47" s="55"/>
      <c r="AU47" s="13"/>
      <c r="AV47" s="1"/>
      <c r="AW47" s="16"/>
      <c r="AX47" s="50"/>
    </row>
    <row r="48" spans="2:50" s="35" customFormat="1">
      <c r="B48" s="56"/>
      <c r="C48" s="56"/>
      <c r="D48" s="52"/>
      <c r="E48" s="53"/>
      <c r="F48" s="53"/>
      <c r="G48" s="53"/>
      <c r="H48" s="53"/>
      <c r="I48" s="53"/>
      <c r="J48" s="53"/>
      <c r="K48" s="53"/>
      <c r="L48" s="53"/>
      <c r="M48" s="53"/>
      <c r="N48" s="53"/>
      <c r="O48" s="53"/>
      <c r="P48" s="53"/>
      <c r="Q48" s="53"/>
      <c r="R48" s="53"/>
      <c r="S48" s="16"/>
      <c r="T48" s="16"/>
      <c r="U48" s="16"/>
      <c r="V48" s="16"/>
      <c r="W48" s="57"/>
      <c r="X48" s="13"/>
      <c r="Y48" s="13"/>
      <c r="Z48" s="13"/>
      <c r="AA48" s="13"/>
      <c r="AB48" s="13"/>
      <c r="AC48" s="13"/>
      <c r="AD48" s="13"/>
      <c r="AE48" s="13"/>
      <c r="AF48" s="13"/>
      <c r="AG48" s="13"/>
      <c r="AH48" s="13"/>
      <c r="AI48" s="13"/>
      <c r="AJ48" s="13"/>
      <c r="AK48" s="13"/>
      <c r="AL48" s="13"/>
      <c r="AM48" s="13"/>
      <c r="AN48" s="13"/>
      <c r="AO48" s="13"/>
      <c r="AP48" s="55"/>
      <c r="AQ48" s="55"/>
      <c r="AR48" s="55"/>
      <c r="AS48" s="55"/>
      <c r="AT48" s="55"/>
      <c r="AU48" s="13"/>
      <c r="AV48" s="1"/>
      <c r="AW48" s="16"/>
      <c r="AX48" s="58"/>
    </row>
    <row r="49" spans="1:50" ht="18.5">
      <c r="A49" s="35"/>
      <c r="B49" s="59"/>
      <c r="C49" s="60"/>
      <c r="D49" s="52"/>
      <c r="E49" s="53"/>
      <c r="F49" s="53"/>
      <c r="G49" s="61"/>
      <c r="H49" s="62"/>
      <c r="I49" s="62"/>
      <c r="J49" s="62"/>
      <c r="K49" s="62"/>
      <c r="L49" s="62"/>
      <c r="M49" s="62"/>
      <c r="N49" s="62"/>
      <c r="O49" s="62"/>
      <c r="P49" s="61"/>
      <c r="Q49" s="61"/>
      <c r="R49" s="61"/>
      <c r="S49" s="57"/>
      <c r="T49" s="57"/>
      <c r="U49" s="57"/>
      <c r="V49" s="57"/>
      <c r="W49" s="57"/>
      <c r="X49" s="63"/>
      <c r="Y49" s="63"/>
      <c r="Z49" s="63"/>
      <c r="AA49" s="63"/>
      <c r="AB49" s="63"/>
      <c r="AC49" s="63"/>
      <c r="AD49" s="63"/>
      <c r="AE49" s="63"/>
      <c r="AF49" s="63"/>
      <c r="AG49" s="63"/>
      <c r="AH49" s="63"/>
      <c r="AP49" s="64"/>
      <c r="AQ49" s="64"/>
      <c r="AR49" s="64"/>
      <c r="AS49" s="64"/>
      <c r="AT49" s="64"/>
      <c r="AV49" s="1"/>
      <c r="AW49" s="16"/>
      <c r="AX49" s="58"/>
    </row>
    <row r="50" spans="1:50" s="58" customFormat="1" ht="38.5" customHeight="1">
      <c r="A50" s="55"/>
      <c r="B50" s="65" t="s">
        <v>30</v>
      </c>
      <c r="C50" s="65"/>
      <c r="D50" s="52"/>
      <c r="E50" s="55"/>
      <c r="F50" s="55"/>
      <c r="G50" s="66"/>
      <c r="H50" s="67" t="s">
        <v>35</v>
      </c>
      <c r="I50" s="67"/>
      <c r="J50" s="66"/>
      <c r="K50" s="66"/>
      <c r="L50" s="66"/>
      <c r="M50" s="66"/>
      <c r="N50" s="66"/>
      <c r="O50" s="61"/>
      <c r="P50" s="61"/>
      <c r="Q50" s="61"/>
      <c r="R50" s="61"/>
      <c r="S50" s="57"/>
      <c r="T50" s="57"/>
      <c r="U50" s="57"/>
      <c r="V50" s="57"/>
      <c r="W50" s="56"/>
      <c r="X50" s="477" t="s">
        <v>101</v>
      </c>
      <c r="Y50" s="477"/>
      <c r="Z50" s="477"/>
      <c r="AA50" s="477"/>
      <c r="AB50" s="477"/>
      <c r="AC50" s="477"/>
      <c r="AD50" s="477"/>
      <c r="AE50" s="477"/>
      <c r="AF50" s="477"/>
      <c r="AG50" s="477"/>
      <c r="AH50" s="477"/>
      <c r="AI50" s="64"/>
      <c r="AJ50" s="64"/>
      <c r="AK50" s="64"/>
      <c r="AL50" s="64"/>
      <c r="AM50" s="64"/>
      <c r="AN50" s="64"/>
      <c r="AO50" s="64"/>
      <c r="AP50" s="68"/>
      <c r="AQ50" s="68"/>
      <c r="AR50" s="68"/>
      <c r="AS50" s="68"/>
      <c r="AT50" s="68"/>
      <c r="AU50" s="13"/>
      <c r="AV50" s="1"/>
      <c r="AW50" s="16"/>
    </row>
    <row r="51" spans="1:50" s="70" customFormat="1" ht="18.5">
      <c r="A51" s="55"/>
      <c r="B51" s="69" t="s">
        <v>31</v>
      </c>
      <c r="C51" s="69"/>
      <c r="D51" s="55"/>
      <c r="E51" s="55"/>
      <c r="F51" s="55"/>
      <c r="G51" s="61"/>
      <c r="H51" s="61"/>
      <c r="I51" s="61"/>
      <c r="J51" s="69" t="s">
        <v>34</v>
      </c>
      <c r="K51" s="61"/>
      <c r="L51" s="61"/>
      <c r="M51" s="66"/>
      <c r="N51" s="66"/>
      <c r="O51" s="61"/>
      <c r="P51" s="61"/>
      <c r="Q51" s="61"/>
      <c r="R51" s="61"/>
      <c r="S51" s="56"/>
      <c r="T51" s="56"/>
      <c r="U51" s="58"/>
      <c r="V51" s="56"/>
      <c r="X51" s="71" t="s">
        <v>99</v>
      </c>
      <c r="Y51" s="72"/>
      <c r="Z51" s="72"/>
      <c r="AA51" s="72"/>
      <c r="AB51" s="72"/>
      <c r="AC51" s="72"/>
      <c r="AD51" s="72"/>
      <c r="AE51" s="72"/>
      <c r="AF51" s="72"/>
      <c r="AG51" s="72"/>
      <c r="AH51" s="72"/>
      <c r="AI51" s="72"/>
      <c r="AJ51" s="72"/>
      <c r="AK51" s="72"/>
      <c r="AL51" s="72"/>
      <c r="AM51" s="72"/>
      <c r="AN51" s="72"/>
      <c r="AO51" s="72"/>
      <c r="AP51" s="73"/>
      <c r="AQ51" s="73"/>
      <c r="AR51" s="73"/>
      <c r="AS51" s="73"/>
      <c r="AT51" s="73"/>
      <c r="AU51" s="73"/>
      <c r="AV51" s="73"/>
      <c r="AW51" s="16"/>
      <c r="AX51" s="58"/>
    </row>
    <row r="52" spans="1:50" s="70" customFormat="1">
      <c r="A52" s="55"/>
      <c r="B52" s="73"/>
      <c r="C52" s="73"/>
      <c r="D52" s="55"/>
      <c r="E52" s="55"/>
      <c r="F52" s="55"/>
      <c r="G52" s="73"/>
      <c r="H52" s="73"/>
      <c r="I52" s="73"/>
      <c r="J52" s="73"/>
      <c r="K52" s="73"/>
      <c r="L52" s="73"/>
      <c r="M52" s="73"/>
      <c r="N52" s="74"/>
      <c r="O52" s="74"/>
      <c r="P52" s="74"/>
      <c r="Q52" s="74"/>
      <c r="R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13"/>
      <c r="AV52" s="73"/>
      <c r="AW52" s="16"/>
      <c r="AX52" s="58"/>
    </row>
    <row r="53" spans="1:50" s="58" customFormat="1">
      <c r="A53" s="55"/>
      <c r="B53" s="73"/>
      <c r="C53" s="73"/>
      <c r="D53" s="55"/>
      <c r="E53" s="55"/>
      <c r="F53" s="55"/>
      <c r="G53" s="73"/>
      <c r="H53" s="73"/>
      <c r="I53" s="73"/>
      <c r="J53" s="73"/>
      <c r="K53" s="73"/>
      <c r="L53" s="73"/>
      <c r="M53" s="73"/>
      <c r="N53" s="74"/>
      <c r="O53" s="74"/>
      <c r="P53" s="74"/>
      <c r="Q53" s="74"/>
      <c r="R53" s="73"/>
      <c r="S53" s="70"/>
      <c r="T53" s="70"/>
      <c r="U53" s="70"/>
      <c r="V53" s="70"/>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6"/>
    </row>
    <row r="54" spans="1:50">
      <c r="A54" s="55"/>
      <c r="B54" s="55"/>
      <c r="C54" s="55"/>
      <c r="D54" s="55"/>
      <c r="E54" s="55"/>
      <c r="F54" s="55"/>
      <c r="G54" s="73"/>
      <c r="H54" s="73"/>
      <c r="I54" s="73"/>
      <c r="J54" s="73"/>
      <c r="K54" s="73"/>
      <c r="L54" s="73"/>
      <c r="M54" s="73"/>
      <c r="N54" s="73"/>
      <c r="O54" s="73"/>
      <c r="P54" s="73"/>
      <c r="Q54" s="73"/>
      <c r="R54" s="73"/>
      <c r="S54" s="58"/>
      <c r="T54" s="58"/>
      <c r="U54" s="58"/>
      <c r="V54" s="58"/>
    </row>
    <row r="55" spans="1:50">
      <c r="D55" s="55"/>
      <c r="E55" s="55"/>
      <c r="F55" s="55"/>
      <c r="G55" s="73"/>
      <c r="H55" s="73"/>
      <c r="I55" s="73"/>
      <c r="J55" s="73"/>
      <c r="K55" s="73"/>
      <c r="L55" s="73"/>
      <c r="M55" s="73"/>
      <c r="N55" s="73"/>
      <c r="O55" s="73"/>
      <c r="P55" s="73"/>
      <c r="Q55" s="73"/>
      <c r="R55" s="73"/>
    </row>
    <row r="56" spans="1:50">
      <c r="D56" s="55"/>
    </row>
  </sheetData>
  <mergeCells count="72">
    <mergeCell ref="B2:C5"/>
    <mergeCell ref="D2:AN5"/>
    <mergeCell ref="B11:AO11"/>
    <mergeCell ref="B12:B13"/>
    <mergeCell ref="E12:E13"/>
    <mergeCell ref="M12:M13"/>
    <mergeCell ref="U12:U13"/>
    <mergeCell ref="AC12:AC13"/>
    <mergeCell ref="AK12:AK13"/>
    <mergeCell ref="AM12:AM13"/>
    <mergeCell ref="AN12:AN13"/>
    <mergeCell ref="AO12:AO13"/>
    <mergeCell ref="B17:AO17"/>
    <mergeCell ref="B18:B19"/>
    <mergeCell ref="E18:E19"/>
    <mergeCell ref="M18:M19"/>
    <mergeCell ref="U18:U19"/>
    <mergeCell ref="AC18:AC19"/>
    <mergeCell ref="AK18:AK19"/>
    <mergeCell ref="AM18:AM19"/>
    <mergeCell ref="U33:V33"/>
    <mergeCell ref="AN18:AN19"/>
    <mergeCell ref="AO18:AO19"/>
    <mergeCell ref="D31:V31"/>
    <mergeCell ref="D32:L32"/>
    <mergeCell ref="M32:N32"/>
    <mergeCell ref="O32:P32"/>
    <mergeCell ref="Q32:R32"/>
    <mergeCell ref="S32:T32"/>
    <mergeCell ref="U32:V32"/>
    <mergeCell ref="E33:L33"/>
    <mergeCell ref="M33:N33"/>
    <mergeCell ref="O33:P33"/>
    <mergeCell ref="Q33:R33"/>
    <mergeCell ref="S33:T33"/>
    <mergeCell ref="B25:AO27"/>
    <mergeCell ref="U34:V34"/>
    <mergeCell ref="E35:L35"/>
    <mergeCell ref="M35:N35"/>
    <mergeCell ref="O35:P35"/>
    <mergeCell ref="Q35:R35"/>
    <mergeCell ref="S35:T35"/>
    <mergeCell ref="U35:V35"/>
    <mergeCell ref="E34:L34"/>
    <mergeCell ref="M34:N34"/>
    <mergeCell ref="O34:P34"/>
    <mergeCell ref="Q34:R34"/>
    <mergeCell ref="S34:T34"/>
    <mergeCell ref="X50:AH50"/>
    <mergeCell ref="E41:T41"/>
    <mergeCell ref="U41:V41"/>
    <mergeCell ref="U38:V38"/>
    <mergeCell ref="E37:L37"/>
    <mergeCell ref="M37:N37"/>
    <mergeCell ref="O37:P37"/>
    <mergeCell ref="Q37:R37"/>
    <mergeCell ref="S37:T37"/>
    <mergeCell ref="U37:V37"/>
    <mergeCell ref="E38:L38"/>
    <mergeCell ref="M38:N38"/>
    <mergeCell ref="O38:P38"/>
    <mergeCell ref="Q38:R38"/>
    <mergeCell ref="S38:T38"/>
    <mergeCell ref="E39:T39"/>
    <mergeCell ref="U39:V39"/>
    <mergeCell ref="E40:T40"/>
    <mergeCell ref="U40:V40"/>
    <mergeCell ref="M36:N36"/>
    <mergeCell ref="O36:P36"/>
    <mergeCell ref="Q36:R36"/>
    <mergeCell ref="S36:T36"/>
    <mergeCell ref="U36:V36"/>
  </mergeCells>
  <conditionalFormatting sqref="D33:D38">
    <cfRule type="containsText" dxfId="61" priority="4" operator="containsText" text="J3">
      <formula>NOT(ISERROR(SEARCH("J3",D33)))</formula>
    </cfRule>
    <cfRule type="containsText" dxfId="60" priority="5" operator="containsText" text="J4">
      <formula>NOT(ISERROR(SEARCH("J4",D33)))</formula>
    </cfRule>
  </conditionalFormatting>
  <conditionalFormatting sqref="F15">
    <cfRule type="cellIs" dxfId="59" priority="24" operator="equal">
      <formula>"L"</formula>
    </cfRule>
  </conditionalFormatting>
  <conditionalFormatting sqref="G14">
    <cfRule type="cellIs" dxfId="58" priority="45" operator="equal">
      <formula>"L"</formula>
    </cfRule>
  </conditionalFormatting>
  <conditionalFormatting sqref="H14:H15">
    <cfRule type="cellIs" dxfId="57" priority="43" operator="equal">
      <formula>"L"</formula>
    </cfRule>
  </conditionalFormatting>
  <conditionalFormatting sqref="I15">
    <cfRule type="cellIs" dxfId="56" priority="42" operator="equal">
      <formula>"L"</formula>
    </cfRule>
  </conditionalFormatting>
  <conditionalFormatting sqref="J14:J15">
    <cfRule type="cellIs" dxfId="55" priority="3" operator="equal">
      <formula>"L"</formula>
    </cfRule>
  </conditionalFormatting>
  <conditionalFormatting sqref="K14:L14">
    <cfRule type="cellIs" dxfId="54" priority="41" operator="equal">
      <formula>"L"</formula>
    </cfRule>
  </conditionalFormatting>
  <conditionalFormatting sqref="L15">
    <cfRule type="cellIs" dxfId="53" priority="27" operator="equal">
      <formula>"L"</formula>
    </cfRule>
  </conditionalFormatting>
  <conditionalFormatting sqref="M20:M21">
    <cfRule type="containsText" dxfId="52" priority="46" operator="containsText" text="J5">
      <formula>NOT(ISERROR(SEARCH("J5",M20)))</formula>
    </cfRule>
    <cfRule type="containsText" dxfId="51" priority="47" operator="containsText" text="J4">
      <formula>NOT(ISERROR(SEARCH("J4",M20)))</formula>
    </cfRule>
    <cfRule type="containsText" dxfId="50" priority="48" operator="containsText" text="J3">
      <formula>NOT(ISERROR(SEARCH("J3",M20)))</formula>
    </cfRule>
    <cfRule type="containsText" dxfId="49" priority="49" operator="containsText" text="J2">
      <formula>NOT(ISERROR(SEARCH("J2",M20)))</formula>
    </cfRule>
    <cfRule type="containsText" dxfId="48" priority="50" operator="containsText" text="J1">
      <formula>NOT(ISERROR(SEARCH("J1",M20)))</formula>
    </cfRule>
    <cfRule type="containsText" dxfId="47" priority="51" operator="containsText" text="L">
      <formula>NOT(ISERROR(SEARCH("L",M20)))</formula>
    </cfRule>
  </conditionalFormatting>
  <conditionalFormatting sqref="P14:Q14">
    <cfRule type="cellIs" dxfId="46" priority="40" operator="equal">
      <formula>"L"</formula>
    </cfRule>
  </conditionalFormatting>
  <conditionalFormatting sqref="Q15:R15">
    <cfRule type="cellIs" dxfId="45" priority="36" operator="equal">
      <formula>"L"</formula>
    </cfRule>
  </conditionalFormatting>
  <conditionalFormatting sqref="S14:T15">
    <cfRule type="cellIs" dxfId="44" priority="30" operator="equal">
      <formula>"L"</formula>
    </cfRule>
  </conditionalFormatting>
  <conditionalFormatting sqref="V14:W15">
    <cfRule type="cellIs" dxfId="43" priority="12" operator="equal">
      <formula>"L"</formula>
    </cfRule>
  </conditionalFormatting>
  <conditionalFormatting sqref="Y14:AB14">
    <cfRule type="cellIs" dxfId="42" priority="2" operator="equal">
      <formula>"L"</formula>
    </cfRule>
  </conditionalFormatting>
  <conditionalFormatting sqref="Z15:AC15">
    <cfRule type="cellIs" dxfId="41" priority="1" operator="equal">
      <formula>"L"</formula>
    </cfRule>
  </conditionalFormatting>
  <conditionalFormatting sqref="AK14:AM14 C14:D15 AD14:AJ15 N15:N16">
    <cfRule type="cellIs" dxfId="40" priority="28" operator="equal">
      <formula>"L"</formula>
    </cfRule>
  </conditionalFormatting>
  <pageMargins left="0.7" right="0.7" top="0.75" bottom="0.75" header="0.3" footer="0.3"/>
  <pageSetup scale="37"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F0F8D-E699-4700-9CA2-D476FEC9DEF2}">
  <dimension ref="A2:AT57"/>
  <sheetViews>
    <sheetView showGridLines="0" tabSelected="1" topLeftCell="A8" zoomScale="70" zoomScaleNormal="70" workbookViewId="0">
      <selection activeCell="E45" sqref="E45"/>
    </sheetView>
  </sheetViews>
  <sheetFormatPr baseColWidth="10" defaultColWidth="11.453125" defaultRowHeight="14.5"/>
  <cols>
    <col min="1" max="1" width="11.453125" style="80"/>
    <col min="2" max="2" width="54.26953125" style="80" customWidth="1"/>
    <col min="3" max="3" width="16.453125" style="80" customWidth="1"/>
    <col min="4" max="22" width="5" style="80" customWidth="1"/>
    <col min="23" max="25" width="7.81640625" style="80" bestFit="1" customWidth="1"/>
    <col min="26" max="40" width="5" style="80" customWidth="1"/>
    <col min="41" max="41" width="29.453125" style="80" customWidth="1"/>
    <col min="42" max="42" width="7.7265625" style="80" customWidth="1"/>
    <col min="43" max="43" width="6.7265625" style="80" customWidth="1"/>
    <col min="44" max="44" width="22.26953125" style="80" customWidth="1"/>
    <col min="45" max="45" width="11.453125" style="80"/>
    <col min="46" max="16384" width="11.453125" style="84"/>
  </cols>
  <sheetData>
    <row r="2" spans="1:45" ht="26">
      <c r="B2" s="554"/>
      <c r="C2" s="81"/>
      <c r="D2" s="557"/>
      <c r="E2" s="557"/>
      <c r="F2" s="557"/>
      <c r="G2" s="557"/>
      <c r="H2" s="557"/>
      <c r="I2" s="557"/>
      <c r="J2" s="557"/>
      <c r="K2" s="557"/>
      <c r="L2" s="557"/>
      <c r="M2" s="557"/>
      <c r="N2" s="557"/>
      <c r="O2" s="557"/>
      <c r="P2" s="557"/>
      <c r="Q2" s="557"/>
      <c r="R2" s="557"/>
      <c r="S2" s="557"/>
      <c r="T2" s="557"/>
      <c r="U2" s="557"/>
      <c r="V2" s="557"/>
      <c r="W2" s="557"/>
      <c r="X2" s="557"/>
      <c r="Y2" s="557"/>
      <c r="Z2" s="557"/>
      <c r="AA2" s="557"/>
      <c r="AB2" s="557"/>
      <c r="AC2" s="557"/>
      <c r="AD2" s="557"/>
      <c r="AE2" s="557"/>
      <c r="AF2" s="557"/>
      <c r="AG2" s="557"/>
      <c r="AH2" s="557"/>
      <c r="AI2" s="557"/>
      <c r="AJ2" s="557"/>
      <c r="AK2" s="557"/>
      <c r="AL2" s="557"/>
      <c r="AM2" s="557"/>
      <c r="AN2" s="557"/>
      <c r="AO2" s="82"/>
      <c r="AP2" s="82"/>
      <c r="AQ2" s="83" t="s">
        <v>1</v>
      </c>
      <c r="AR2" s="83"/>
    </row>
    <row r="3" spans="1:45" ht="26">
      <c r="B3" s="555"/>
      <c r="C3" s="85"/>
      <c r="D3" s="558"/>
      <c r="E3" s="558"/>
      <c r="F3" s="558"/>
      <c r="G3" s="558"/>
      <c r="H3" s="558"/>
      <c r="I3" s="558"/>
      <c r="J3" s="558"/>
      <c r="K3" s="558"/>
      <c r="L3" s="558"/>
      <c r="M3" s="558"/>
      <c r="N3" s="558"/>
      <c r="O3" s="558"/>
      <c r="P3" s="558"/>
      <c r="Q3" s="558"/>
      <c r="R3" s="558"/>
      <c r="S3" s="558"/>
      <c r="T3" s="558"/>
      <c r="U3" s="558"/>
      <c r="V3" s="558"/>
      <c r="W3" s="558"/>
      <c r="X3" s="558"/>
      <c r="Y3" s="558"/>
      <c r="Z3" s="558"/>
      <c r="AA3" s="558"/>
      <c r="AB3" s="558"/>
      <c r="AC3" s="558"/>
      <c r="AD3" s="558"/>
      <c r="AE3" s="558"/>
      <c r="AF3" s="558"/>
      <c r="AG3" s="558"/>
      <c r="AH3" s="558"/>
      <c r="AI3" s="558"/>
      <c r="AJ3" s="558"/>
      <c r="AK3" s="558"/>
      <c r="AL3" s="558"/>
      <c r="AM3" s="558"/>
      <c r="AN3" s="558"/>
      <c r="AO3" s="86"/>
      <c r="AP3" s="86"/>
      <c r="AQ3" s="560" t="s">
        <v>62</v>
      </c>
      <c r="AR3" s="561"/>
      <c r="AS3" s="87"/>
    </row>
    <row r="4" spans="1:45" ht="26">
      <c r="B4" s="555"/>
      <c r="C4" s="85"/>
      <c r="D4" s="558"/>
      <c r="E4" s="558"/>
      <c r="F4" s="558"/>
      <c r="G4" s="558"/>
      <c r="H4" s="558"/>
      <c r="I4" s="558"/>
      <c r="J4" s="558"/>
      <c r="K4" s="558"/>
      <c r="L4" s="558"/>
      <c r="M4" s="558"/>
      <c r="N4" s="558"/>
      <c r="O4" s="558"/>
      <c r="P4" s="558"/>
      <c r="Q4" s="558"/>
      <c r="R4" s="558"/>
      <c r="S4" s="558"/>
      <c r="T4" s="558"/>
      <c r="U4" s="558"/>
      <c r="V4" s="558"/>
      <c r="W4" s="558"/>
      <c r="X4" s="558"/>
      <c r="Y4" s="558"/>
      <c r="Z4" s="558"/>
      <c r="AA4" s="558"/>
      <c r="AB4" s="558"/>
      <c r="AC4" s="558"/>
      <c r="AD4" s="558"/>
      <c r="AE4" s="558"/>
      <c r="AF4" s="558"/>
      <c r="AG4" s="558"/>
      <c r="AH4" s="558"/>
      <c r="AI4" s="558"/>
      <c r="AJ4" s="558"/>
      <c r="AK4" s="558"/>
      <c r="AL4" s="558"/>
      <c r="AM4" s="558"/>
      <c r="AN4" s="558"/>
      <c r="AO4" s="86"/>
      <c r="AP4" s="86"/>
      <c r="AQ4" s="560" t="s">
        <v>63</v>
      </c>
      <c r="AR4" s="561"/>
      <c r="AS4" s="87"/>
    </row>
    <row r="5" spans="1:45" ht="26">
      <c r="B5" s="556"/>
      <c r="C5" s="88"/>
      <c r="D5" s="559"/>
      <c r="E5" s="559"/>
      <c r="F5" s="559"/>
      <c r="G5" s="559"/>
      <c r="H5" s="559"/>
      <c r="I5" s="559"/>
      <c r="J5" s="559"/>
      <c r="K5" s="559"/>
      <c r="L5" s="559"/>
      <c r="M5" s="559"/>
      <c r="N5" s="559"/>
      <c r="O5" s="559"/>
      <c r="P5" s="559"/>
      <c r="Q5" s="559"/>
      <c r="R5" s="559"/>
      <c r="S5" s="559"/>
      <c r="T5" s="559"/>
      <c r="U5" s="559"/>
      <c r="V5" s="559"/>
      <c r="W5" s="559"/>
      <c r="X5" s="559"/>
      <c r="Y5" s="559"/>
      <c r="Z5" s="559"/>
      <c r="AA5" s="559"/>
      <c r="AB5" s="559"/>
      <c r="AC5" s="559"/>
      <c r="AD5" s="559"/>
      <c r="AE5" s="559"/>
      <c r="AF5" s="559"/>
      <c r="AG5" s="559"/>
      <c r="AH5" s="559"/>
      <c r="AI5" s="559"/>
      <c r="AJ5" s="559"/>
      <c r="AK5" s="559"/>
      <c r="AL5" s="559"/>
      <c r="AM5" s="559"/>
      <c r="AN5" s="559"/>
      <c r="AO5" s="89"/>
      <c r="AP5" s="89"/>
      <c r="AQ5" s="560" t="s">
        <v>2</v>
      </c>
      <c r="AR5" s="561"/>
      <c r="AS5" s="87"/>
    </row>
    <row r="7" spans="1:45" ht="18.5">
      <c r="A7" s="90"/>
      <c r="B7" s="91" t="s">
        <v>3</v>
      </c>
      <c r="C7" s="92" t="s">
        <v>4</v>
      </c>
      <c r="D7" s="93"/>
      <c r="E7" s="93"/>
      <c r="F7" s="94"/>
      <c r="G7" s="94"/>
      <c r="H7" s="94"/>
      <c r="I7" s="94"/>
      <c r="J7" s="90"/>
      <c r="K7" s="90"/>
      <c r="L7" s="90"/>
      <c r="M7" s="90"/>
      <c r="N7" s="90"/>
      <c r="O7" s="90"/>
      <c r="P7" s="90"/>
      <c r="Q7" s="90"/>
      <c r="R7" s="90"/>
      <c r="S7" s="90"/>
      <c r="T7" s="90"/>
      <c r="U7" s="90"/>
      <c r="V7" s="90"/>
      <c r="W7" s="90"/>
      <c r="X7" s="90"/>
      <c r="Y7" s="90"/>
      <c r="Z7" s="90"/>
      <c r="AA7" s="90"/>
      <c r="AB7" s="90"/>
      <c r="AC7" s="90"/>
      <c r="AD7" s="90"/>
      <c r="AE7" s="90"/>
      <c r="AF7" s="90"/>
      <c r="AG7" s="90"/>
      <c r="AH7" s="90"/>
      <c r="AI7" s="90"/>
      <c r="AJ7" s="90"/>
      <c r="AK7" s="90"/>
      <c r="AL7" s="90"/>
      <c r="AM7" s="90"/>
      <c r="AN7" s="90"/>
      <c r="AO7" s="90"/>
      <c r="AP7" s="90"/>
      <c r="AQ7" s="90"/>
      <c r="AR7" s="90"/>
      <c r="AS7" s="90"/>
    </row>
    <row r="8" spans="1:45" ht="18.5">
      <c r="A8" s="90"/>
      <c r="B8" s="91" t="s">
        <v>5</v>
      </c>
      <c r="C8" s="95" t="s">
        <v>64</v>
      </c>
      <c r="D8" s="93"/>
      <c r="E8" s="93"/>
      <c r="F8" s="94"/>
      <c r="G8" s="94"/>
      <c r="H8" s="94"/>
      <c r="I8" s="94"/>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row>
    <row r="9" spans="1:45" ht="18.5">
      <c r="A9" s="90"/>
      <c r="B9" s="91" t="s">
        <v>6</v>
      </c>
      <c r="C9" s="96" t="s">
        <v>65</v>
      </c>
      <c r="D9" s="97"/>
      <c r="E9" s="97"/>
      <c r="F9" s="94"/>
      <c r="G9" s="94"/>
      <c r="H9" s="94"/>
      <c r="I9" s="94"/>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row>
    <row r="10" spans="1:45" ht="16" thickBot="1">
      <c r="A10" s="90"/>
      <c r="B10" s="90"/>
      <c r="C10" s="90"/>
      <c r="D10" s="90"/>
      <c r="E10" s="90"/>
      <c r="F10" s="90"/>
      <c r="G10" s="90"/>
      <c r="H10" s="90"/>
      <c r="I10" s="90"/>
      <c r="J10" s="90"/>
      <c r="K10" s="90"/>
      <c r="L10" s="90"/>
      <c r="M10" s="90"/>
      <c r="N10" s="90"/>
      <c r="O10" s="90"/>
      <c r="P10" s="90"/>
      <c r="Q10" s="90"/>
      <c r="R10" s="90"/>
      <c r="S10" s="90"/>
      <c r="T10" s="90"/>
      <c r="U10" s="90"/>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row>
    <row r="11" spans="1:45" ht="16" thickBot="1">
      <c r="A11" s="90"/>
      <c r="B11" s="98" t="s">
        <v>26</v>
      </c>
      <c r="C11" s="551" t="s">
        <v>58</v>
      </c>
      <c r="D11" s="552"/>
      <c r="E11" s="552"/>
      <c r="F11" s="552"/>
      <c r="G11" s="552"/>
      <c r="H11" s="552"/>
      <c r="I11" s="552"/>
      <c r="J11" s="552"/>
      <c r="K11" s="552"/>
      <c r="L11" s="552"/>
      <c r="M11" s="552"/>
      <c r="N11" s="552"/>
      <c r="O11" s="552"/>
      <c r="P11" s="552"/>
      <c r="Q11" s="552"/>
      <c r="R11" s="552"/>
      <c r="S11" s="552"/>
      <c r="T11" s="552"/>
      <c r="U11" s="552"/>
      <c r="V11" s="552"/>
      <c r="W11" s="552"/>
      <c r="X11" s="552"/>
      <c r="Y11" s="552"/>
      <c r="Z11" s="552"/>
      <c r="AA11" s="552"/>
      <c r="AB11" s="552"/>
      <c r="AC11" s="552"/>
      <c r="AD11" s="552"/>
      <c r="AE11" s="552"/>
      <c r="AF11" s="552"/>
      <c r="AG11" s="552"/>
      <c r="AH11" s="552"/>
      <c r="AI11" s="552"/>
      <c r="AJ11" s="552"/>
      <c r="AK11" s="552"/>
      <c r="AL11" s="552"/>
      <c r="AM11" s="552"/>
      <c r="AN11" s="553"/>
      <c r="AO11" s="99"/>
      <c r="AP11" s="84"/>
      <c r="AQ11" s="84"/>
      <c r="AR11" s="84"/>
      <c r="AS11" s="100"/>
    </row>
    <row r="12" spans="1:45" ht="18.75" customHeight="1">
      <c r="A12" s="101"/>
      <c r="B12" s="540" t="s">
        <v>7</v>
      </c>
      <c r="C12" s="102" t="s">
        <v>12</v>
      </c>
      <c r="D12" s="103" t="s">
        <v>13</v>
      </c>
      <c r="E12" s="104" t="s">
        <v>14</v>
      </c>
      <c r="F12" s="105" t="s">
        <v>8</v>
      </c>
      <c r="G12" s="105" t="s">
        <v>9</v>
      </c>
      <c r="H12" s="105" t="s">
        <v>9</v>
      </c>
      <c r="I12" s="105" t="s">
        <v>10</v>
      </c>
      <c r="J12" s="103" t="s">
        <v>11</v>
      </c>
      <c r="K12" s="103" t="s">
        <v>12</v>
      </c>
      <c r="L12" s="103" t="s">
        <v>13</v>
      </c>
      <c r="M12" s="104" t="s">
        <v>14</v>
      </c>
      <c r="N12" s="105" t="s">
        <v>8</v>
      </c>
      <c r="O12" s="105" t="s">
        <v>9</v>
      </c>
      <c r="P12" s="105" t="s">
        <v>9</v>
      </c>
      <c r="Q12" s="105" t="s">
        <v>10</v>
      </c>
      <c r="R12" s="105" t="s">
        <v>11</v>
      </c>
      <c r="S12" s="103" t="s">
        <v>12</v>
      </c>
      <c r="T12" s="103" t="s">
        <v>13</v>
      </c>
      <c r="U12" s="104" t="s">
        <v>14</v>
      </c>
      <c r="V12" s="103" t="s">
        <v>8</v>
      </c>
      <c r="W12" s="105" t="s">
        <v>9</v>
      </c>
      <c r="X12" s="105" t="s">
        <v>9</v>
      </c>
      <c r="Y12" s="105" t="s">
        <v>10</v>
      </c>
      <c r="Z12" s="105" t="s">
        <v>11</v>
      </c>
      <c r="AA12" s="103" t="s">
        <v>12</v>
      </c>
      <c r="AB12" s="103" t="s">
        <v>13</v>
      </c>
      <c r="AC12" s="104" t="s">
        <v>14</v>
      </c>
      <c r="AD12" s="105" t="s">
        <v>8</v>
      </c>
      <c r="AE12" s="105" t="s">
        <v>9</v>
      </c>
      <c r="AF12" s="105" t="s">
        <v>9</v>
      </c>
      <c r="AG12" s="105" t="s">
        <v>10</v>
      </c>
      <c r="AH12" s="105" t="s">
        <v>11</v>
      </c>
      <c r="AI12" s="103" t="s">
        <v>12</v>
      </c>
      <c r="AJ12" s="103" t="s">
        <v>13</v>
      </c>
      <c r="AK12" s="104" t="s">
        <v>14</v>
      </c>
      <c r="AL12" s="105" t="s">
        <v>8</v>
      </c>
      <c r="AM12" s="104" t="s">
        <v>14</v>
      </c>
      <c r="AN12" s="542" t="s">
        <v>15</v>
      </c>
      <c r="AO12" s="544" t="s">
        <v>16</v>
      </c>
      <c r="AP12" s="100"/>
      <c r="AQ12" s="84"/>
      <c r="AR12" s="84"/>
      <c r="AS12" s="84"/>
    </row>
    <row r="13" spans="1:45" ht="18.75" customHeight="1">
      <c r="A13" s="101"/>
      <c r="B13" s="541"/>
      <c r="C13" s="106">
        <v>1</v>
      </c>
      <c r="D13" s="107">
        <v>2</v>
      </c>
      <c r="E13" s="108"/>
      <c r="F13" s="108">
        <v>3</v>
      </c>
      <c r="G13" s="108">
        <v>4</v>
      </c>
      <c r="H13" s="108">
        <v>5</v>
      </c>
      <c r="I13" s="109">
        <v>6</v>
      </c>
      <c r="J13" s="110">
        <v>7</v>
      </c>
      <c r="K13" s="110">
        <v>8</v>
      </c>
      <c r="L13" s="110">
        <v>9</v>
      </c>
      <c r="M13" s="108"/>
      <c r="N13" s="108">
        <v>10</v>
      </c>
      <c r="O13" s="108">
        <v>11</v>
      </c>
      <c r="P13" s="108">
        <v>12</v>
      </c>
      <c r="Q13" s="108">
        <v>13</v>
      </c>
      <c r="R13" s="108">
        <v>14</v>
      </c>
      <c r="S13" s="110">
        <v>15</v>
      </c>
      <c r="T13" s="110">
        <v>16</v>
      </c>
      <c r="U13" s="111"/>
      <c r="V13" s="107">
        <v>17</v>
      </c>
      <c r="W13" s="108">
        <v>18</v>
      </c>
      <c r="X13" s="108">
        <v>19</v>
      </c>
      <c r="Y13" s="108">
        <v>20</v>
      </c>
      <c r="Z13" s="108">
        <v>21</v>
      </c>
      <c r="AA13" s="107">
        <v>22</v>
      </c>
      <c r="AB13" s="107">
        <v>23</v>
      </c>
      <c r="AC13" s="111"/>
      <c r="AD13" s="108">
        <v>24</v>
      </c>
      <c r="AE13" s="108">
        <v>25</v>
      </c>
      <c r="AF13" s="108">
        <v>26</v>
      </c>
      <c r="AG13" s="108">
        <v>27</v>
      </c>
      <c r="AH13" s="108">
        <v>28</v>
      </c>
      <c r="AI13" s="107">
        <v>29</v>
      </c>
      <c r="AJ13" s="107">
        <v>30</v>
      </c>
      <c r="AK13" s="111"/>
      <c r="AL13" s="108">
        <v>31</v>
      </c>
      <c r="AM13" s="111"/>
      <c r="AN13" s="543"/>
      <c r="AO13" s="545"/>
      <c r="AP13" s="100"/>
      <c r="AQ13" s="84"/>
      <c r="AR13" s="84"/>
      <c r="AS13" s="84"/>
    </row>
    <row r="14" spans="1:45" ht="18.5">
      <c r="A14" s="101"/>
      <c r="B14" s="112" t="s">
        <v>66</v>
      </c>
      <c r="C14" s="113" t="s">
        <v>8</v>
      </c>
      <c r="D14" s="111" t="s">
        <v>8</v>
      </c>
      <c r="E14" s="111"/>
      <c r="F14" s="111" t="s">
        <v>32</v>
      </c>
      <c r="G14" s="111" t="s">
        <v>32</v>
      </c>
      <c r="H14" s="111" t="s">
        <v>32</v>
      </c>
      <c r="I14" s="111" t="s">
        <v>32</v>
      </c>
      <c r="J14" s="111" t="s">
        <v>8</v>
      </c>
      <c r="K14" s="111" t="s">
        <v>8</v>
      </c>
      <c r="L14" s="111" t="s">
        <v>8</v>
      </c>
      <c r="M14" s="111"/>
      <c r="N14" s="111" t="s">
        <v>32</v>
      </c>
      <c r="O14" s="111" t="s">
        <v>32</v>
      </c>
      <c r="P14" s="111" t="s">
        <v>32</v>
      </c>
      <c r="Q14" s="111" t="s">
        <v>32</v>
      </c>
      <c r="R14" s="114" t="s">
        <v>32</v>
      </c>
      <c r="S14" s="111" t="s">
        <v>33</v>
      </c>
      <c r="T14" s="111" t="s">
        <v>8</v>
      </c>
      <c r="U14" s="111"/>
      <c r="V14" s="111" t="s">
        <v>8</v>
      </c>
      <c r="W14" s="111" t="s">
        <v>32</v>
      </c>
      <c r="X14" s="111" t="s">
        <v>32</v>
      </c>
      <c r="Y14" s="111" t="s">
        <v>32</v>
      </c>
      <c r="Z14" s="111" t="s">
        <v>73</v>
      </c>
      <c r="AA14" s="111" t="s">
        <v>8</v>
      </c>
      <c r="AB14" s="111" t="s">
        <v>8</v>
      </c>
      <c r="AC14" s="111"/>
      <c r="AD14" s="111" t="s">
        <v>73</v>
      </c>
      <c r="AE14" s="111" t="s">
        <v>73</v>
      </c>
      <c r="AF14" s="111" t="s">
        <v>73</v>
      </c>
      <c r="AG14" s="111" t="s">
        <v>73</v>
      </c>
      <c r="AH14" s="111" t="s">
        <v>73</v>
      </c>
      <c r="AI14" s="111" t="s">
        <v>8</v>
      </c>
      <c r="AJ14" s="115" t="s">
        <v>8</v>
      </c>
      <c r="AK14" s="115"/>
      <c r="AL14" s="115" t="s">
        <v>73</v>
      </c>
      <c r="AM14" s="115"/>
      <c r="AN14" s="116" t="s">
        <v>15</v>
      </c>
      <c r="AO14" s="117"/>
      <c r="AP14" s="100"/>
      <c r="AQ14" s="84"/>
      <c r="AR14" s="84"/>
      <c r="AS14" s="84"/>
    </row>
    <row r="15" spans="1:45" ht="18.5">
      <c r="A15" s="101"/>
      <c r="B15" s="112" t="s">
        <v>68</v>
      </c>
      <c r="C15" s="113" t="s">
        <v>8</v>
      </c>
      <c r="D15" s="111" t="s">
        <v>8</v>
      </c>
      <c r="E15" s="111"/>
      <c r="F15" s="111" t="s">
        <v>17</v>
      </c>
      <c r="G15" s="111" t="s">
        <v>17</v>
      </c>
      <c r="H15" s="111" t="s">
        <v>17</v>
      </c>
      <c r="I15" s="111" t="s">
        <v>17</v>
      </c>
      <c r="J15" s="111" t="s">
        <v>8</v>
      </c>
      <c r="K15" s="111" t="s">
        <v>8</v>
      </c>
      <c r="L15" s="111" t="s">
        <v>8</v>
      </c>
      <c r="M15" s="111"/>
      <c r="N15" s="111" t="s">
        <v>17</v>
      </c>
      <c r="O15" s="111" t="s">
        <v>17</v>
      </c>
      <c r="P15" s="111" t="s">
        <v>17</v>
      </c>
      <c r="Q15" s="111" t="s">
        <v>17</v>
      </c>
      <c r="R15" s="111" t="s">
        <v>17</v>
      </c>
      <c r="S15" s="111" t="s">
        <v>8</v>
      </c>
      <c r="T15" s="111" t="s">
        <v>8</v>
      </c>
      <c r="U15" s="111"/>
      <c r="V15" s="111" t="s">
        <v>8</v>
      </c>
      <c r="W15" s="111" t="s">
        <v>17</v>
      </c>
      <c r="X15" s="111" t="s">
        <v>17</v>
      </c>
      <c r="Y15" s="111" t="s">
        <v>17</v>
      </c>
      <c r="Z15" s="111" t="s">
        <v>13</v>
      </c>
      <c r="AA15" s="111" t="s">
        <v>8</v>
      </c>
      <c r="AB15" s="111" t="s">
        <v>8</v>
      </c>
      <c r="AC15" s="111"/>
      <c r="AD15" s="111" t="s">
        <v>13</v>
      </c>
      <c r="AE15" s="111" t="s">
        <v>13</v>
      </c>
      <c r="AF15" s="111" t="s">
        <v>13</v>
      </c>
      <c r="AG15" s="111" t="s">
        <v>13</v>
      </c>
      <c r="AH15" s="111" t="s">
        <v>13</v>
      </c>
      <c r="AI15" s="115" t="s">
        <v>33</v>
      </c>
      <c r="AJ15" s="115" t="s">
        <v>8</v>
      </c>
      <c r="AK15" s="115"/>
      <c r="AL15" s="111" t="s">
        <v>13</v>
      </c>
      <c r="AM15" s="115"/>
      <c r="AN15" s="116" t="s">
        <v>15</v>
      </c>
      <c r="AO15" s="117"/>
      <c r="AP15" s="100"/>
      <c r="AQ15" s="84"/>
      <c r="AR15" s="84"/>
      <c r="AS15" s="84"/>
    </row>
    <row r="16" spans="1:45" ht="18.5">
      <c r="A16" s="101"/>
      <c r="B16" s="112" t="s">
        <v>69</v>
      </c>
      <c r="C16" s="113" t="s">
        <v>8</v>
      </c>
      <c r="D16" s="111" t="s">
        <v>8</v>
      </c>
      <c r="E16" s="111"/>
      <c r="F16" s="111" t="s">
        <v>32</v>
      </c>
      <c r="G16" s="111" t="s">
        <v>32</v>
      </c>
      <c r="H16" s="111" t="s">
        <v>32</v>
      </c>
      <c r="I16" s="111" t="s">
        <v>32</v>
      </c>
      <c r="J16" s="111" t="s">
        <v>8</v>
      </c>
      <c r="K16" s="111" t="s">
        <v>33</v>
      </c>
      <c r="L16" s="111" t="s">
        <v>8</v>
      </c>
      <c r="M16" s="111"/>
      <c r="N16" s="111" t="s">
        <v>32</v>
      </c>
      <c r="O16" s="111" t="s">
        <v>32</v>
      </c>
      <c r="P16" s="111" t="s">
        <v>32</v>
      </c>
      <c r="Q16" s="111" t="s">
        <v>32</v>
      </c>
      <c r="R16" s="114" t="s">
        <v>32</v>
      </c>
      <c r="S16" s="111" t="s">
        <v>8</v>
      </c>
      <c r="T16" s="111" t="s">
        <v>8</v>
      </c>
      <c r="U16" s="111"/>
      <c r="V16" s="111" t="s">
        <v>8</v>
      </c>
      <c r="W16" s="111" t="s">
        <v>32</v>
      </c>
      <c r="X16" s="111" t="s">
        <v>32</v>
      </c>
      <c r="Y16" s="111" t="s">
        <v>32</v>
      </c>
      <c r="Z16" s="111" t="s">
        <v>73</v>
      </c>
      <c r="AA16" s="111" t="s">
        <v>8</v>
      </c>
      <c r="AB16" s="111" t="s">
        <v>8</v>
      </c>
      <c r="AC16" s="111"/>
      <c r="AD16" s="111" t="s">
        <v>73</v>
      </c>
      <c r="AE16" s="111" t="s">
        <v>73</v>
      </c>
      <c r="AF16" s="111" t="s">
        <v>73</v>
      </c>
      <c r="AG16" s="111" t="s">
        <v>73</v>
      </c>
      <c r="AH16" s="111" t="s">
        <v>73</v>
      </c>
      <c r="AI16" s="115" t="s">
        <v>8</v>
      </c>
      <c r="AJ16" s="115" t="s">
        <v>8</v>
      </c>
      <c r="AK16" s="115"/>
      <c r="AL16" s="115" t="s">
        <v>73</v>
      </c>
      <c r="AM16" s="115"/>
      <c r="AN16" s="116" t="s">
        <v>15</v>
      </c>
      <c r="AO16" s="117"/>
      <c r="AP16" s="100"/>
      <c r="AQ16" s="84"/>
      <c r="AR16" s="84"/>
      <c r="AS16" s="84"/>
    </row>
    <row r="17" spans="1:45" ht="19" thickBot="1">
      <c r="A17" s="101"/>
      <c r="B17" s="118" t="s">
        <v>70</v>
      </c>
      <c r="C17" s="119" t="s">
        <v>8</v>
      </c>
      <c r="D17" s="120" t="s">
        <v>8</v>
      </c>
      <c r="E17" s="120"/>
      <c r="F17" s="120" t="s">
        <v>74</v>
      </c>
      <c r="G17" s="120" t="s">
        <v>74</v>
      </c>
      <c r="H17" s="120" t="s">
        <v>74</v>
      </c>
      <c r="I17" s="120" t="s">
        <v>74</v>
      </c>
      <c r="J17" s="120" t="s">
        <v>8</v>
      </c>
      <c r="K17" s="120" t="s">
        <v>8</v>
      </c>
      <c r="L17" s="120" t="s">
        <v>8</v>
      </c>
      <c r="M17" s="120"/>
      <c r="N17" s="120" t="s">
        <v>74</v>
      </c>
      <c r="O17" s="120" t="s">
        <v>74</v>
      </c>
      <c r="P17" s="120" t="s">
        <v>74</v>
      </c>
      <c r="Q17" s="120" t="s">
        <v>74</v>
      </c>
      <c r="R17" s="120" t="s">
        <v>74</v>
      </c>
      <c r="S17" s="120" t="s">
        <v>8</v>
      </c>
      <c r="T17" s="120" t="s">
        <v>8</v>
      </c>
      <c r="U17" s="120"/>
      <c r="V17" s="120" t="s">
        <v>8</v>
      </c>
      <c r="W17" s="120" t="s">
        <v>74</v>
      </c>
      <c r="X17" s="120" t="s">
        <v>74</v>
      </c>
      <c r="Y17" s="120" t="s">
        <v>74</v>
      </c>
      <c r="Z17" s="120" t="s">
        <v>13</v>
      </c>
      <c r="AA17" s="120" t="s">
        <v>33</v>
      </c>
      <c r="AB17" s="120" t="s">
        <v>8</v>
      </c>
      <c r="AC17" s="120"/>
      <c r="AD17" s="120" t="s">
        <v>13</v>
      </c>
      <c r="AE17" s="120" t="s">
        <v>13</v>
      </c>
      <c r="AF17" s="120" t="s">
        <v>13</v>
      </c>
      <c r="AG17" s="120" t="s">
        <v>13</v>
      </c>
      <c r="AH17" s="120" t="s">
        <v>13</v>
      </c>
      <c r="AI17" s="121" t="s">
        <v>8</v>
      </c>
      <c r="AJ17" s="121" t="s">
        <v>8</v>
      </c>
      <c r="AK17" s="121"/>
      <c r="AL17" s="120" t="s">
        <v>13</v>
      </c>
      <c r="AM17" s="121"/>
      <c r="AN17" s="122" t="s">
        <v>15</v>
      </c>
      <c r="AO17" s="123"/>
      <c r="AP17" s="100"/>
      <c r="AQ17" s="84"/>
      <c r="AR17" s="84"/>
      <c r="AS17" s="84"/>
    </row>
    <row r="18" spans="1:45" ht="16" thickBot="1">
      <c r="A18" s="90"/>
      <c r="B18" s="124"/>
      <c r="C18" s="124"/>
      <c r="D18" s="124"/>
      <c r="E18" s="124"/>
      <c r="F18" s="124"/>
      <c r="G18" s="124"/>
      <c r="H18" s="124"/>
      <c r="I18" s="124"/>
      <c r="J18" s="124"/>
      <c r="K18" s="124"/>
      <c r="L18" s="124"/>
      <c r="M18" s="124"/>
      <c r="N18" s="124"/>
      <c r="O18" s="124"/>
      <c r="P18" s="124"/>
      <c r="Q18" s="124"/>
      <c r="R18" s="124"/>
      <c r="S18" s="100"/>
      <c r="T18" s="124"/>
      <c r="U18" s="124"/>
      <c r="V18" s="124"/>
      <c r="W18" s="124"/>
      <c r="X18" s="124"/>
      <c r="Y18" s="124"/>
      <c r="Z18" s="124"/>
      <c r="AA18" s="124"/>
      <c r="AB18" s="124"/>
      <c r="AC18" s="124"/>
      <c r="AD18" s="124"/>
      <c r="AE18" s="124"/>
      <c r="AF18" s="124"/>
      <c r="AG18" s="124"/>
      <c r="AH18" s="124"/>
      <c r="AI18" s="124"/>
      <c r="AJ18" s="124"/>
      <c r="AK18" s="124"/>
      <c r="AL18" s="124"/>
      <c r="AM18" s="124"/>
      <c r="AN18" s="124"/>
      <c r="AO18" s="124"/>
      <c r="AP18" s="124"/>
      <c r="AQ18" s="124"/>
      <c r="AR18" s="124"/>
      <c r="AS18" s="100"/>
    </row>
    <row r="19" spans="1:45" ht="16" thickBot="1">
      <c r="A19" s="90"/>
      <c r="B19" s="125" t="s">
        <v>26</v>
      </c>
      <c r="C19" s="546" t="s">
        <v>58</v>
      </c>
      <c r="D19" s="547"/>
      <c r="E19" s="547"/>
      <c r="F19" s="547"/>
      <c r="G19" s="547"/>
      <c r="H19" s="547"/>
      <c r="I19" s="547"/>
      <c r="J19" s="547"/>
      <c r="K19" s="547"/>
      <c r="L19" s="547"/>
      <c r="M19" s="547"/>
      <c r="N19" s="547"/>
      <c r="O19" s="547"/>
      <c r="P19" s="547"/>
      <c r="Q19" s="547"/>
      <c r="R19" s="547"/>
      <c r="S19" s="547"/>
      <c r="T19" s="547"/>
      <c r="U19" s="547"/>
      <c r="V19" s="547"/>
      <c r="W19" s="547"/>
      <c r="X19" s="547"/>
      <c r="Y19" s="547"/>
      <c r="Z19" s="547"/>
      <c r="AA19" s="547"/>
      <c r="AB19" s="547"/>
      <c r="AC19" s="547"/>
      <c r="AD19" s="547"/>
      <c r="AE19" s="547"/>
      <c r="AF19" s="547"/>
      <c r="AG19" s="547"/>
      <c r="AH19" s="547"/>
      <c r="AI19" s="547"/>
      <c r="AJ19" s="547"/>
      <c r="AK19" s="547"/>
      <c r="AL19" s="547"/>
      <c r="AM19" s="547"/>
      <c r="AN19" s="548"/>
      <c r="AO19" s="126"/>
      <c r="AP19" s="100"/>
      <c r="AQ19" s="84"/>
      <c r="AR19" s="84"/>
      <c r="AS19" s="100"/>
    </row>
    <row r="20" spans="1:45" ht="18.75" customHeight="1">
      <c r="A20" s="90"/>
      <c r="B20" s="540" t="s">
        <v>7</v>
      </c>
      <c r="C20" s="102" t="s">
        <v>12</v>
      </c>
      <c r="D20" s="103" t="s">
        <v>13</v>
      </c>
      <c r="E20" s="104" t="s">
        <v>14</v>
      </c>
      <c r="F20" s="105" t="s">
        <v>8</v>
      </c>
      <c r="G20" s="105" t="s">
        <v>9</v>
      </c>
      <c r="H20" s="105" t="s">
        <v>9</v>
      </c>
      <c r="I20" s="105" t="s">
        <v>10</v>
      </c>
      <c r="J20" s="103" t="s">
        <v>11</v>
      </c>
      <c r="K20" s="103" t="s">
        <v>12</v>
      </c>
      <c r="L20" s="103" t="s">
        <v>13</v>
      </c>
      <c r="M20" s="104" t="s">
        <v>14</v>
      </c>
      <c r="N20" s="105" t="s">
        <v>8</v>
      </c>
      <c r="O20" s="105" t="s">
        <v>9</v>
      </c>
      <c r="P20" s="105" t="s">
        <v>9</v>
      </c>
      <c r="Q20" s="105" t="s">
        <v>10</v>
      </c>
      <c r="R20" s="105" t="s">
        <v>11</v>
      </c>
      <c r="S20" s="103" t="s">
        <v>12</v>
      </c>
      <c r="T20" s="103" t="s">
        <v>13</v>
      </c>
      <c r="U20" s="104" t="s">
        <v>14</v>
      </c>
      <c r="V20" s="103" t="s">
        <v>8</v>
      </c>
      <c r="W20" s="105" t="s">
        <v>9</v>
      </c>
      <c r="X20" s="105" t="s">
        <v>9</v>
      </c>
      <c r="Y20" s="105" t="s">
        <v>10</v>
      </c>
      <c r="Z20" s="105" t="s">
        <v>11</v>
      </c>
      <c r="AA20" s="103" t="s">
        <v>12</v>
      </c>
      <c r="AB20" s="103" t="s">
        <v>13</v>
      </c>
      <c r="AC20" s="104" t="s">
        <v>14</v>
      </c>
      <c r="AD20" s="105" t="s">
        <v>8</v>
      </c>
      <c r="AE20" s="105" t="s">
        <v>9</v>
      </c>
      <c r="AF20" s="105" t="s">
        <v>9</v>
      </c>
      <c r="AG20" s="105" t="s">
        <v>10</v>
      </c>
      <c r="AH20" s="105" t="s">
        <v>11</v>
      </c>
      <c r="AI20" s="103" t="s">
        <v>12</v>
      </c>
      <c r="AJ20" s="103" t="s">
        <v>13</v>
      </c>
      <c r="AK20" s="104" t="s">
        <v>14</v>
      </c>
      <c r="AL20" s="105" t="s">
        <v>8</v>
      </c>
      <c r="AM20" s="104" t="s">
        <v>14</v>
      </c>
      <c r="AN20" s="542" t="s">
        <v>15</v>
      </c>
      <c r="AO20" s="544" t="s">
        <v>16</v>
      </c>
      <c r="AP20" s="100"/>
      <c r="AQ20" s="84"/>
      <c r="AR20" s="84"/>
      <c r="AS20" s="84"/>
    </row>
    <row r="21" spans="1:45" ht="19.5" customHeight="1">
      <c r="A21" s="90"/>
      <c r="B21" s="549"/>
      <c r="C21" s="106">
        <v>1</v>
      </c>
      <c r="D21" s="110">
        <v>2</v>
      </c>
      <c r="E21" s="109"/>
      <c r="F21" s="109">
        <v>3</v>
      </c>
      <c r="G21" s="109">
        <v>4</v>
      </c>
      <c r="H21" s="109">
        <v>5</v>
      </c>
      <c r="I21" s="109">
        <v>6</v>
      </c>
      <c r="J21" s="110">
        <v>7</v>
      </c>
      <c r="K21" s="110">
        <v>8</v>
      </c>
      <c r="L21" s="110">
        <v>9</v>
      </c>
      <c r="M21" s="108"/>
      <c r="N21" s="109">
        <v>10</v>
      </c>
      <c r="O21" s="109">
        <v>11</v>
      </c>
      <c r="P21" s="109">
        <v>12</v>
      </c>
      <c r="Q21" s="109">
        <v>13</v>
      </c>
      <c r="R21" s="109">
        <v>14</v>
      </c>
      <c r="S21" s="110">
        <v>15</v>
      </c>
      <c r="T21" s="110">
        <v>16</v>
      </c>
      <c r="U21" s="111"/>
      <c r="V21" s="107">
        <v>17</v>
      </c>
      <c r="W21" s="108">
        <v>18</v>
      </c>
      <c r="X21" s="108">
        <v>19</v>
      </c>
      <c r="Y21" s="108">
        <v>20</v>
      </c>
      <c r="Z21" s="108">
        <v>21</v>
      </c>
      <c r="AA21" s="107">
        <v>22</v>
      </c>
      <c r="AB21" s="107">
        <v>23</v>
      </c>
      <c r="AC21" s="111"/>
      <c r="AD21" s="108">
        <v>24</v>
      </c>
      <c r="AE21" s="108">
        <v>25</v>
      </c>
      <c r="AF21" s="108">
        <v>26</v>
      </c>
      <c r="AG21" s="108">
        <v>27</v>
      </c>
      <c r="AH21" s="108">
        <v>28</v>
      </c>
      <c r="AI21" s="107">
        <v>29</v>
      </c>
      <c r="AJ21" s="107">
        <v>30</v>
      </c>
      <c r="AK21" s="111"/>
      <c r="AL21" s="108">
        <v>31</v>
      </c>
      <c r="AM21" s="111"/>
      <c r="AN21" s="543"/>
      <c r="AO21" s="550"/>
      <c r="AP21" s="100"/>
      <c r="AQ21" s="84"/>
      <c r="AR21" s="84"/>
      <c r="AS21" s="84"/>
    </row>
    <row r="22" spans="1:45" ht="18.5">
      <c r="A22" s="90"/>
      <c r="B22" s="112" t="str">
        <f>B14</f>
        <v>PILAR ALEXANDRA VARGAS PINZON</v>
      </c>
      <c r="C22" s="127">
        <f>VLOOKUP(C14,$C$34:$T$41,18,FALSE)</f>
        <v>0</v>
      </c>
      <c r="D22" s="107">
        <f>VLOOKUP(D14,$C$34:$U$41,18,FALSE)</f>
        <v>0</v>
      </c>
      <c r="E22" s="108">
        <f>C22+D22</f>
        <v>0</v>
      </c>
      <c r="F22" s="108">
        <f t="shared" ref="F22:L25" si="0">VLOOKUP(F14,$C$34:$U$41,18,FALSE)</f>
        <v>8</v>
      </c>
      <c r="G22" s="108">
        <f t="shared" si="0"/>
        <v>8</v>
      </c>
      <c r="H22" s="108">
        <f t="shared" si="0"/>
        <v>8</v>
      </c>
      <c r="I22" s="108">
        <f t="shared" si="0"/>
        <v>8</v>
      </c>
      <c r="J22" s="107">
        <f t="shared" si="0"/>
        <v>0</v>
      </c>
      <c r="K22" s="107">
        <f t="shared" si="0"/>
        <v>0</v>
      </c>
      <c r="L22" s="107">
        <f t="shared" si="0"/>
        <v>0</v>
      </c>
      <c r="M22" s="108">
        <f>F22+G22+H22+I22+J22+K22+L22</f>
        <v>32</v>
      </c>
      <c r="N22" s="108">
        <f t="shared" ref="N22:T25" si="1">VLOOKUP(N14,$C$34:$U$41,18,FALSE)</f>
        <v>8</v>
      </c>
      <c r="O22" s="108">
        <f t="shared" si="1"/>
        <v>8</v>
      </c>
      <c r="P22" s="108">
        <f t="shared" si="1"/>
        <v>8</v>
      </c>
      <c r="Q22" s="108">
        <f t="shared" si="1"/>
        <v>8</v>
      </c>
      <c r="R22" s="108">
        <f t="shared" si="1"/>
        <v>8</v>
      </c>
      <c r="S22" s="107">
        <f t="shared" si="1"/>
        <v>7</v>
      </c>
      <c r="T22" s="107">
        <f t="shared" si="1"/>
        <v>0</v>
      </c>
      <c r="U22" s="108">
        <f>N22+O22+P22+Q22+R22+S22+T22</f>
        <v>47</v>
      </c>
      <c r="V22" s="107">
        <f t="shared" ref="V22:AB25" si="2">VLOOKUP(V14,$C$34:$U$41,18,FALSE)</f>
        <v>0</v>
      </c>
      <c r="W22" s="108">
        <f t="shared" si="2"/>
        <v>8</v>
      </c>
      <c r="X22" s="108">
        <f t="shared" si="2"/>
        <v>8</v>
      </c>
      <c r="Y22" s="108">
        <f t="shared" si="2"/>
        <v>8</v>
      </c>
      <c r="Z22" s="108">
        <f t="shared" si="2"/>
        <v>9</v>
      </c>
      <c r="AA22" s="107">
        <f t="shared" si="2"/>
        <v>0</v>
      </c>
      <c r="AB22" s="107">
        <f t="shared" si="2"/>
        <v>0</v>
      </c>
      <c r="AC22" s="108">
        <f>V22+W22+X22+Y22+Z22+AA22+AB22</f>
        <v>33</v>
      </c>
      <c r="AD22" s="108">
        <f t="shared" ref="AD22:AJ25" si="3">VLOOKUP(AD14,$C$34:$U$41,18,FALSE)</f>
        <v>9</v>
      </c>
      <c r="AE22" s="108">
        <f t="shared" si="3"/>
        <v>9</v>
      </c>
      <c r="AF22" s="108">
        <f t="shared" si="3"/>
        <v>9</v>
      </c>
      <c r="AG22" s="108">
        <f t="shared" si="3"/>
        <v>9</v>
      </c>
      <c r="AH22" s="108">
        <f t="shared" si="3"/>
        <v>9</v>
      </c>
      <c r="AI22" s="107">
        <f t="shared" si="3"/>
        <v>0</v>
      </c>
      <c r="AJ22" s="107">
        <f t="shared" si="3"/>
        <v>0</v>
      </c>
      <c r="AK22" s="108">
        <f>AD22+AE22+AF22+AG22+AH22+AI22+AJ22</f>
        <v>45</v>
      </c>
      <c r="AL22" s="108">
        <f>VLOOKUP(AL14,$C$34:$U$41,18,FALSE)</f>
        <v>9</v>
      </c>
      <c r="AM22" s="108">
        <f>AL22</f>
        <v>9</v>
      </c>
      <c r="AN22" s="108">
        <v>2</v>
      </c>
      <c r="AO22" s="128">
        <f>E22+M22+U22+AC22+AK22+AM22+AN22</f>
        <v>168</v>
      </c>
      <c r="AP22" s="100"/>
      <c r="AQ22" s="129"/>
      <c r="AR22" s="84"/>
      <c r="AS22" s="84"/>
    </row>
    <row r="23" spans="1:45" ht="18.5">
      <c r="A23" s="90"/>
      <c r="B23" s="112" t="str">
        <f>B15</f>
        <v>TATIANA MILENA PINEDA PULIDO</v>
      </c>
      <c r="C23" s="127">
        <f>VLOOKUP(C15,$C$34:$T$41,18,FALSE)</f>
        <v>0</v>
      </c>
      <c r="D23" s="107">
        <f>VLOOKUP(D15,$C$34:$U$41,18,FALSE)</f>
        <v>0</v>
      </c>
      <c r="E23" s="108">
        <f>C23+D23</f>
        <v>0</v>
      </c>
      <c r="F23" s="108">
        <f t="shared" si="0"/>
        <v>8</v>
      </c>
      <c r="G23" s="108">
        <f t="shared" si="0"/>
        <v>8</v>
      </c>
      <c r="H23" s="108">
        <f t="shared" si="0"/>
        <v>8</v>
      </c>
      <c r="I23" s="108">
        <f t="shared" si="0"/>
        <v>8</v>
      </c>
      <c r="J23" s="107">
        <f t="shared" si="0"/>
        <v>0</v>
      </c>
      <c r="K23" s="107">
        <f t="shared" si="0"/>
        <v>0</v>
      </c>
      <c r="L23" s="107">
        <f t="shared" si="0"/>
        <v>0</v>
      </c>
      <c r="M23" s="108">
        <f t="shared" ref="M23:M25" si="4">F23+G23+H23+I23+J23+K23+L23</f>
        <v>32</v>
      </c>
      <c r="N23" s="108">
        <f t="shared" si="1"/>
        <v>8</v>
      </c>
      <c r="O23" s="108">
        <f t="shared" si="1"/>
        <v>8</v>
      </c>
      <c r="P23" s="108">
        <f t="shared" si="1"/>
        <v>8</v>
      </c>
      <c r="Q23" s="108">
        <f t="shared" si="1"/>
        <v>8</v>
      </c>
      <c r="R23" s="108">
        <f t="shared" si="1"/>
        <v>8</v>
      </c>
      <c r="S23" s="107">
        <f t="shared" si="1"/>
        <v>0</v>
      </c>
      <c r="T23" s="107">
        <f t="shared" si="1"/>
        <v>0</v>
      </c>
      <c r="U23" s="108">
        <f t="shared" ref="U23:U25" si="5">N23+O23+P23+Q23+R23+S23+T23</f>
        <v>40</v>
      </c>
      <c r="V23" s="107">
        <f t="shared" si="2"/>
        <v>0</v>
      </c>
      <c r="W23" s="108">
        <f t="shared" si="2"/>
        <v>8</v>
      </c>
      <c r="X23" s="108">
        <f t="shared" si="2"/>
        <v>8</v>
      </c>
      <c r="Y23" s="108">
        <f t="shared" si="2"/>
        <v>8</v>
      </c>
      <c r="Z23" s="108">
        <f t="shared" si="2"/>
        <v>9</v>
      </c>
      <c r="AA23" s="107">
        <f t="shared" si="2"/>
        <v>0</v>
      </c>
      <c r="AB23" s="107">
        <f t="shared" si="2"/>
        <v>0</v>
      </c>
      <c r="AC23" s="108">
        <f t="shared" ref="AC23:AC25" si="6">V23+W23+X23+Y23+Z23+AA23+AB23</f>
        <v>33</v>
      </c>
      <c r="AD23" s="108">
        <f t="shared" si="3"/>
        <v>9</v>
      </c>
      <c r="AE23" s="108">
        <f t="shared" si="3"/>
        <v>9</v>
      </c>
      <c r="AF23" s="108">
        <f t="shared" si="3"/>
        <v>9</v>
      </c>
      <c r="AG23" s="108">
        <f t="shared" si="3"/>
        <v>9</v>
      </c>
      <c r="AH23" s="108">
        <f t="shared" si="3"/>
        <v>9</v>
      </c>
      <c r="AI23" s="107">
        <f t="shared" si="3"/>
        <v>7</v>
      </c>
      <c r="AJ23" s="107">
        <f t="shared" si="3"/>
        <v>0</v>
      </c>
      <c r="AK23" s="108">
        <f t="shared" ref="AK23:AK25" si="7">AD23+AE23+AF23+AG23+AH23+AI23+AJ23</f>
        <v>52</v>
      </c>
      <c r="AL23" s="108">
        <f>VLOOKUP(AL15,$C$34:$U$41,18,FALSE)</f>
        <v>9</v>
      </c>
      <c r="AM23" s="108">
        <f>AL23</f>
        <v>9</v>
      </c>
      <c r="AN23" s="108">
        <v>2</v>
      </c>
      <c r="AO23" s="128">
        <f>E23+M23+U23+AC23+AK23+AM23+AN23</f>
        <v>168</v>
      </c>
      <c r="AP23" s="100"/>
      <c r="AQ23" s="129"/>
      <c r="AR23" s="84"/>
      <c r="AS23" s="84"/>
    </row>
    <row r="24" spans="1:45" ht="18.5">
      <c r="A24" s="90"/>
      <c r="B24" s="112" t="str">
        <f>B16</f>
        <v>ANGI VASCO</v>
      </c>
      <c r="C24" s="127">
        <f>VLOOKUP(C16,$C$34:$T$41,18,FALSE)</f>
        <v>0</v>
      </c>
      <c r="D24" s="107">
        <f>VLOOKUP(D16,$C$34:$U$41,18,FALSE)</f>
        <v>0</v>
      </c>
      <c r="E24" s="108">
        <f>C24+D24</f>
        <v>0</v>
      </c>
      <c r="F24" s="108">
        <f t="shared" si="0"/>
        <v>8</v>
      </c>
      <c r="G24" s="108">
        <f t="shared" si="0"/>
        <v>8</v>
      </c>
      <c r="H24" s="108">
        <f t="shared" si="0"/>
        <v>8</v>
      </c>
      <c r="I24" s="108">
        <f t="shared" si="0"/>
        <v>8</v>
      </c>
      <c r="J24" s="107">
        <f t="shared" si="0"/>
        <v>0</v>
      </c>
      <c r="K24" s="107">
        <f t="shared" si="0"/>
        <v>7</v>
      </c>
      <c r="L24" s="107">
        <f t="shared" si="0"/>
        <v>0</v>
      </c>
      <c r="M24" s="108">
        <f t="shared" si="4"/>
        <v>39</v>
      </c>
      <c r="N24" s="108">
        <f t="shared" si="1"/>
        <v>8</v>
      </c>
      <c r="O24" s="108">
        <f t="shared" si="1"/>
        <v>8</v>
      </c>
      <c r="P24" s="108">
        <f t="shared" si="1"/>
        <v>8</v>
      </c>
      <c r="Q24" s="108">
        <f t="shared" si="1"/>
        <v>8</v>
      </c>
      <c r="R24" s="108">
        <f t="shared" si="1"/>
        <v>8</v>
      </c>
      <c r="S24" s="107">
        <f t="shared" si="1"/>
        <v>0</v>
      </c>
      <c r="T24" s="107">
        <f t="shared" si="1"/>
        <v>0</v>
      </c>
      <c r="U24" s="108">
        <f t="shared" si="5"/>
        <v>40</v>
      </c>
      <c r="V24" s="107">
        <f t="shared" si="2"/>
        <v>0</v>
      </c>
      <c r="W24" s="108">
        <f t="shared" si="2"/>
        <v>8</v>
      </c>
      <c r="X24" s="108">
        <f t="shared" si="2"/>
        <v>8</v>
      </c>
      <c r="Y24" s="108">
        <f t="shared" si="2"/>
        <v>8</v>
      </c>
      <c r="Z24" s="108">
        <f t="shared" si="2"/>
        <v>9</v>
      </c>
      <c r="AA24" s="107">
        <f t="shared" si="2"/>
        <v>0</v>
      </c>
      <c r="AB24" s="107">
        <f t="shared" si="2"/>
        <v>0</v>
      </c>
      <c r="AC24" s="108">
        <f t="shared" si="6"/>
        <v>33</v>
      </c>
      <c r="AD24" s="108">
        <f t="shared" si="3"/>
        <v>9</v>
      </c>
      <c r="AE24" s="108">
        <f t="shared" si="3"/>
        <v>9</v>
      </c>
      <c r="AF24" s="108">
        <f t="shared" si="3"/>
        <v>9</v>
      </c>
      <c r="AG24" s="108">
        <f t="shared" si="3"/>
        <v>9</v>
      </c>
      <c r="AH24" s="108">
        <f t="shared" si="3"/>
        <v>9</v>
      </c>
      <c r="AI24" s="107">
        <f t="shared" si="3"/>
        <v>0</v>
      </c>
      <c r="AJ24" s="107">
        <f t="shared" si="3"/>
        <v>0</v>
      </c>
      <c r="AK24" s="108">
        <f t="shared" si="7"/>
        <v>45</v>
      </c>
      <c r="AL24" s="108">
        <f>VLOOKUP(AL16,$C$34:$U$41,18,FALSE)</f>
        <v>9</v>
      </c>
      <c r="AM24" s="108">
        <f>AL24</f>
        <v>9</v>
      </c>
      <c r="AN24" s="108">
        <v>2</v>
      </c>
      <c r="AO24" s="128">
        <f>E24+M24+U24+AC24+AK24+AM24+AN24</f>
        <v>168</v>
      </c>
      <c r="AP24" s="100"/>
      <c r="AQ24" s="129"/>
      <c r="AR24" s="84"/>
      <c r="AS24" s="84"/>
    </row>
    <row r="25" spans="1:45" ht="19" thickBot="1">
      <c r="A25" s="90"/>
      <c r="B25" s="118" t="s">
        <v>70</v>
      </c>
      <c r="C25" s="127">
        <f>VLOOKUP(C17,$C$34:$T$41,18,FALSE)</f>
        <v>0</v>
      </c>
      <c r="D25" s="107">
        <f>VLOOKUP(D17,$C$34:$U$41,18,FALSE)</f>
        <v>0</v>
      </c>
      <c r="E25" s="108">
        <f>C25+D25</f>
        <v>0</v>
      </c>
      <c r="F25" s="108">
        <f t="shared" si="0"/>
        <v>8</v>
      </c>
      <c r="G25" s="108">
        <f t="shared" si="0"/>
        <v>8</v>
      </c>
      <c r="H25" s="108">
        <f t="shared" si="0"/>
        <v>8</v>
      </c>
      <c r="I25" s="108">
        <f t="shared" si="0"/>
        <v>8</v>
      </c>
      <c r="J25" s="107">
        <f t="shared" si="0"/>
        <v>0</v>
      </c>
      <c r="K25" s="107">
        <f t="shared" si="0"/>
        <v>0</v>
      </c>
      <c r="L25" s="107">
        <f t="shared" si="0"/>
        <v>0</v>
      </c>
      <c r="M25" s="108">
        <f t="shared" si="4"/>
        <v>32</v>
      </c>
      <c r="N25" s="108">
        <f t="shared" si="1"/>
        <v>8</v>
      </c>
      <c r="O25" s="108">
        <f t="shared" si="1"/>
        <v>8</v>
      </c>
      <c r="P25" s="108">
        <f t="shared" si="1"/>
        <v>8</v>
      </c>
      <c r="Q25" s="108">
        <f t="shared" si="1"/>
        <v>8</v>
      </c>
      <c r="R25" s="108">
        <f t="shared" si="1"/>
        <v>8</v>
      </c>
      <c r="S25" s="107">
        <f t="shared" si="1"/>
        <v>0</v>
      </c>
      <c r="T25" s="107">
        <f t="shared" si="1"/>
        <v>0</v>
      </c>
      <c r="U25" s="108">
        <f t="shared" si="5"/>
        <v>40</v>
      </c>
      <c r="V25" s="107">
        <f t="shared" si="2"/>
        <v>0</v>
      </c>
      <c r="W25" s="108">
        <f t="shared" si="2"/>
        <v>8</v>
      </c>
      <c r="X25" s="108">
        <f t="shared" si="2"/>
        <v>8</v>
      </c>
      <c r="Y25" s="108">
        <f t="shared" si="2"/>
        <v>8</v>
      </c>
      <c r="Z25" s="108">
        <f t="shared" si="2"/>
        <v>9</v>
      </c>
      <c r="AA25" s="107">
        <f t="shared" si="2"/>
        <v>7</v>
      </c>
      <c r="AB25" s="107">
        <f t="shared" si="2"/>
        <v>0</v>
      </c>
      <c r="AC25" s="108">
        <f t="shared" si="6"/>
        <v>40</v>
      </c>
      <c r="AD25" s="108">
        <f t="shared" si="3"/>
        <v>9</v>
      </c>
      <c r="AE25" s="108">
        <f t="shared" si="3"/>
        <v>9</v>
      </c>
      <c r="AF25" s="108">
        <f t="shared" si="3"/>
        <v>9</v>
      </c>
      <c r="AG25" s="108">
        <f t="shared" si="3"/>
        <v>9</v>
      </c>
      <c r="AH25" s="108">
        <f t="shared" si="3"/>
        <v>9</v>
      </c>
      <c r="AI25" s="107">
        <f t="shared" si="3"/>
        <v>0</v>
      </c>
      <c r="AJ25" s="107">
        <f t="shared" si="3"/>
        <v>0</v>
      </c>
      <c r="AK25" s="108">
        <f t="shared" si="7"/>
        <v>45</v>
      </c>
      <c r="AL25" s="108">
        <f>VLOOKUP(AL17,$C$34:$U$41,18,FALSE)</f>
        <v>9</v>
      </c>
      <c r="AM25" s="108">
        <f>AL25</f>
        <v>9</v>
      </c>
      <c r="AN25" s="108">
        <v>2</v>
      </c>
      <c r="AO25" s="128">
        <f>E25+M25+U25+AC25+AK25+AM25+AN25</f>
        <v>168</v>
      </c>
      <c r="AP25" s="100"/>
      <c r="AQ25" s="129"/>
      <c r="AR25" s="84"/>
      <c r="AS25" s="84"/>
    </row>
    <row r="26" spans="1:45" ht="19" thickBot="1">
      <c r="A26" s="130"/>
      <c r="B26" s="131" t="s">
        <v>18</v>
      </c>
      <c r="C26" s="132">
        <f t="shared" ref="C26:J26" si="8">SUM(C22:C25)</f>
        <v>0</v>
      </c>
      <c r="D26" s="133">
        <f t="shared" si="8"/>
        <v>0</v>
      </c>
      <c r="E26" s="134"/>
      <c r="F26" s="134">
        <f t="shared" si="8"/>
        <v>32</v>
      </c>
      <c r="G26" s="134">
        <f t="shared" si="8"/>
        <v>32</v>
      </c>
      <c r="H26" s="134">
        <f t="shared" si="8"/>
        <v>32</v>
      </c>
      <c r="I26" s="134">
        <f t="shared" si="8"/>
        <v>32</v>
      </c>
      <c r="J26" s="133">
        <f t="shared" si="8"/>
        <v>0</v>
      </c>
      <c r="K26" s="133">
        <f t="shared" ref="K26:AH26" si="9">SUM(K22:K25)</f>
        <v>7</v>
      </c>
      <c r="L26" s="133">
        <f t="shared" si="9"/>
        <v>0</v>
      </c>
      <c r="M26" s="134"/>
      <c r="N26" s="134">
        <f t="shared" si="9"/>
        <v>32</v>
      </c>
      <c r="O26" s="134">
        <f t="shared" si="9"/>
        <v>32</v>
      </c>
      <c r="P26" s="134">
        <f t="shared" si="9"/>
        <v>32</v>
      </c>
      <c r="Q26" s="134">
        <f t="shared" si="9"/>
        <v>32</v>
      </c>
      <c r="R26" s="134">
        <f t="shared" si="9"/>
        <v>32</v>
      </c>
      <c r="S26" s="133">
        <f t="shared" si="9"/>
        <v>7</v>
      </c>
      <c r="T26" s="133">
        <f t="shared" si="9"/>
        <v>0</v>
      </c>
      <c r="U26" s="135"/>
      <c r="V26" s="133">
        <f t="shared" si="9"/>
        <v>0</v>
      </c>
      <c r="W26" s="134">
        <f t="shared" si="9"/>
        <v>32</v>
      </c>
      <c r="X26" s="134">
        <f t="shared" si="9"/>
        <v>32</v>
      </c>
      <c r="Y26" s="134">
        <f t="shared" si="9"/>
        <v>32</v>
      </c>
      <c r="Z26" s="134">
        <f t="shared" si="9"/>
        <v>36</v>
      </c>
      <c r="AA26" s="133">
        <f t="shared" si="9"/>
        <v>7</v>
      </c>
      <c r="AB26" s="133">
        <f t="shared" si="9"/>
        <v>0</v>
      </c>
      <c r="AC26" s="135"/>
      <c r="AD26" s="134">
        <f t="shared" si="9"/>
        <v>36</v>
      </c>
      <c r="AE26" s="134">
        <f t="shared" si="9"/>
        <v>36</v>
      </c>
      <c r="AF26" s="134">
        <f t="shared" si="9"/>
        <v>36</v>
      </c>
      <c r="AG26" s="135">
        <f t="shared" si="9"/>
        <v>36</v>
      </c>
      <c r="AH26" s="135">
        <f t="shared" si="9"/>
        <v>36</v>
      </c>
      <c r="AI26" s="133">
        <f>SUM(AI22:AI25)</f>
        <v>7</v>
      </c>
      <c r="AJ26" s="133">
        <f>SUM(AJ22:AJ25)</f>
        <v>0</v>
      </c>
      <c r="AK26" s="135"/>
      <c r="AL26" s="135">
        <f t="shared" ref="AL26" si="10">SUM(AL22:AL25)</f>
        <v>36</v>
      </c>
      <c r="AM26" s="134"/>
      <c r="AN26" s="136">
        <f>SUM(AN22:AN25)</f>
        <v>8</v>
      </c>
      <c r="AO26" s="137"/>
      <c r="AP26" s="138"/>
      <c r="AQ26" s="84"/>
      <c r="AR26" s="84"/>
      <c r="AS26" s="84"/>
    </row>
    <row r="27" spans="1:45" ht="15.5">
      <c r="A27" s="130"/>
      <c r="B27" s="130"/>
      <c r="C27" s="130"/>
      <c r="D27" s="130"/>
      <c r="E27" s="130"/>
      <c r="F27" s="130"/>
      <c r="G27" s="130"/>
      <c r="H27" s="130"/>
      <c r="I27" s="130"/>
      <c r="J27" s="130"/>
      <c r="K27" s="130"/>
      <c r="L27" s="130"/>
      <c r="M27" s="130"/>
      <c r="N27" s="130"/>
      <c r="O27" s="130"/>
      <c r="P27" s="130"/>
      <c r="Q27" s="130"/>
      <c r="R27" s="130"/>
      <c r="S27" s="9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row>
    <row r="28" spans="1:45" ht="48.75" customHeight="1">
      <c r="A28" s="130"/>
      <c r="B28" s="532" t="s">
        <v>19</v>
      </c>
      <c r="C28" s="532"/>
      <c r="D28" s="532"/>
      <c r="E28" s="532"/>
      <c r="F28" s="532"/>
      <c r="G28" s="532"/>
      <c r="H28" s="532"/>
      <c r="I28" s="532"/>
      <c r="J28" s="532"/>
      <c r="K28" s="532"/>
      <c r="L28" s="532"/>
      <c r="M28" s="532"/>
      <c r="N28" s="532"/>
      <c r="O28" s="532"/>
      <c r="P28" s="532"/>
      <c r="Q28" s="532"/>
      <c r="R28" s="532"/>
      <c r="S28" s="532"/>
      <c r="T28" s="532"/>
      <c r="U28" s="532"/>
      <c r="V28" s="532"/>
      <c r="W28" s="532"/>
      <c r="X28" s="532"/>
      <c r="Y28" s="532"/>
      <c r="Z28" s="532"/>
      <c r="AA28" s="532"/>
      <c r="AB28" s="532"/>
      <c r="AC28" s="532"/>
      <c r="AD28" s="532"/>
      <c r="AE28" s="532"/>
      <c r="AF28" s="532"/>
      <c r="AG28" s="532"/>
      <c r="AH28" s="532"/>
      <c r="AI28" s="532"/>
      <c r="AJ28" s="532"/>
      <c r="AK28" s="532"/>
      <c r="AL28" s="532"/>
      <c r="AM28" s="532"/>
      <c r="AN28" s="532"/>
      <c r="AO28" s="532"/>
      <c r="AP28" s="139"/>
      <c r="AQ28" s="139"/>
      <c r="AR28" s="139"/>
      <c r="AS28" s="140"/>
    </row>
    <row r="29" spans="1:45" ht="15.5">
      <c r="A29" s="130"/>
      <c r="B29" s="141"/>
      <c r="C29" s="141"/>
      <c r="D29" s="142"/>
      <c r="E29" s="142"/>
      <c r="F29" s="142"/>
      <c r="G29" s="142"/>
      <c r="H29" s="142"/>
      <c r="I29" s="142"/>
      <c r="J29" s="142"/>
      <c r="K29" s="142"/>
      <c r="L29" s="142"/>
      <c r="M29" s="142"/>
      <c r="N29" s="142"/>
      <c r="O29" s="142"/>
      <c r="P29" s="142"/>
      <c r="Q29" s="142"/>
      <c r="R29" s="142"/>
      <c r="S29" s="143"/>
      <c r="T29" s="142"/>
      <c r="U29" s="142"/>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38"/>
    </row>
    <row r="30" spans="1:45" ht="15.5">
      <c r="A30" s="130"/>
      <c r="B30" s="141"/>
      <c r="C30" s="141"/>
      <c r="D30" s="142"/>
      <c r="E30" s="142"/>
      <c r="F30" s="142"/>
      <c r="G30" s="142"/>
      <c r="H30" s="142"/>
      <c r="I30" s="142"/>
      <c r="J30" s="142"/>
      <c r="K30" s="142"/>
      <c r="L30" s="142"/>
      <c r="M30" s="142"/>
      <c r="N30" s="142"/>
      <c r="O30" s="142"/>
      <c r="P30" s="142"/>
      <c r="Q30" s="142"/>
      <c r="R30" s="142"/>
      <c r="S30" s="143"/>
      <c r="T30" s="142"/>
      <c r="U30" s="142"/>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38"/>
    </row>
    <row r="31" spans="1:45" ht="15.5">
      <c r="A31" s="130"/>
      <c r="B31" s="141"/>
      <c r="C31" s="141"/>
      <c r="D31" s="142"/>
      <c r="E31" s="142"/>
      <c r="F31" s="142"/>
      <c r="G31" s="142"/>
      <c r="H31" s="142"/>
      <c r="I31" s="142"/>
      <c r="J31" s="142"/>
      <c r="K31" s="142"/>
      <c r="L31" s="142"/>
      <c r="M31" s="142"/>
      <c r="N31" s="142"/>
      <c r="O31" s="142"/>
      <c r="P31" s="142"/>
      <c r="Q31" s="142"/>
      <c r="R31" s="142"/>
      <c r="S31" s="143"/>
      <c r="T31" s="142"/>
      <c r="U31" s="142"/>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38"/>
    </row>
    <row r="32" spans="1:45" ht="18.75" customHeight="1">
      <c r="A32" s="130"/>
      <c r="B32" s="141"/>
      <c r="C32" s="141"/>
      <c r="D32" s="533"/>
      <c r="E32" s="533"/>
      <c r="F32" s="533"/>
      <c r="G32" s="533"/>
      <c r="H32" s="533"/>
      <c r="I32" s="533"/>
      <c r="J32" s="533"/>
      <c r="K32" s="533"/>
      <c r="L32" s="533"/>
      <c r="M32" s="533"/>
      <c r="N32" s="533"/>
      <c r="O32" s="533"/>
      <c r="P32" s="533"/>
      <c r="Q32" s="533"/>
      <c r="R32" s="533"/>
      <c r="S32" s="533"/>
      <c r="T32" s="533"/>
      <c r="U32" s="534"/>
      <c r="V32" s="142"/>
      <c r="W32" s="142"/>
      <c r="X32" s="142"/>
      <c r="Y32" s="144"/>
      <c r="Z32" s="144"/>
      <c r="AA32" s="144"/>
      <c r="AB32" s="144"/>
      <c r="AC32" s="144"/>
      <c r="AD32" s="144"/>
      <c r="AE32" s="144"/>
      <c r="AF32" s="144"/>
      <c r="AG32" s="144"/>
      <c r="AH32" s="144"/>
      <c r="AI32" s="144"/>
      <c r="AJ32" s="144"/>
      <c r="AK32" s="144"/>
      <c r="AL32" s="144"/>
      <c r="AM32" s="144"/>
      <c r="AN32" s="144"/>
      <c r="AO32" s="144"/>
      <c r="AP32" s="144"/>
      <c r="AQ32" s="144"/>
      <c r="AR32" s="144"/>
      <c r="AS32" s="144"/>
    </row>
    <row r="33" spans="1:45" ht="26.25" customHeight="1">
      <c r="A33" s="130"/>
      <c r="B33" s="141"/>
      <c r="C33" s="145" t="s">
        <v>21</v>
      </c>
      <c r="D33" s="535"/>
      <c r="E33" s="535"/>
      <c r="F33" s="535"/>
      <c r="G33" s="535"/>
      <c r="H33" s="535"/>
      <c r="I33" s="535"/>
      <c r="J33" s="535"/>
      <c r="K33" s="535"/>
      <c r="L33" s="536" t="s">
        <v>22</v>
      </c>
      <c r="M33" s="536"/>
      <c r="N33" s="537" t="s">
        <v>23</v>
      </c>
      <c r="O33" s="538"/>
      <c r="P33" s="537" t="s">
        <v>24</v>
      </c>
      <c r="Q33" s="538"/>
      <c r="R33" s="536" t="s">
        <v>23</v>
      </c>
      <c r="S33" s="536"/>
      <c r="T33" s="535" t="s">
        <v>25</v>
      </c>
      <c r="U33" s="535"/>
      <c r="V33" s="142"/>
      <c r="W33" s="539" t="s">
        <v>72</v>
      </c>
      <c r="X33" s="539"/>
      <c r="Y33" s="539"/>
      <c r="Z33" s="144"/>
      <c r="AA33" s="144"/>
      <c r="AB33" s="144"/>
      <c r="AC33" s="144"/>
      <c r="AD33" s="144"/>
      <c r="AE33" s="144"/>
      <c r="AF33" s="144"/>
      <c r="AG33" s="144"/>
      <c r="AH33" s="144"/>
      <c r="AI33" s="144"/>
      <c r="AJ33" s="144"/>
      <c r="AK33" s="144"/>
      <c r="AL33" s="144"/>
      <c r="AM33" s="144"/>
      <c r="AN33" s="144"/>
      <c r="AO33" s="144"/>
      <c r="AP33" s="144"/>
      <c r="AQ33" s="144"/>
      <c r="AR33" s="144"/>
      <c r="AS33" s="144"/>
    </row>
    <row r="34" spans="1:45" ht="18.5">
      <c r="A34" s="130"/>
      <c r="B34" s="141"/>
      <c r="C34" s="145" t="s">
        <v>17</v>
      </c>
      <c r="D34" s="525" t="s">
        <v>27</v>
      </c>
      <c r="E34" s="525"/>
      <c r="F34" s="525"/>
      <c r="G34" s="525"/>
      <c r="H34" s="525"/>
      <c r="I34" s="525"/>
      <c r="J34" s="525"/>
      <c r="K34" s="525"/>
      <c r="L34" s="527">
        <v>0.33333333333333298</v>
      </c>
      <c r="M34" s="528"/>
      <c r="N34" s="529">
        <v>0.54166666666666696</v>
      </c>
      <c r="O34" s="530">
        <v>0.54166666666666696</v>
      </c>
      <c r="P34" s="529">
        <v>0.58333333333333304</v>
      </c>
      <c r="Q34" s="530">
        <v>0.54166666666666696</v>
      </c>
      <c r="R34" s="531">
        <v>0.70833333333333304</v>
      </c>
      <c r="S34" s="531"/>
      <c r="T34" s="526">
        <v>8</v>
      </c>
      <c r="U34" s="526"/>
      <c r="V34" s="142"/>
      <c r="W34" s="146">
        <f t="shared" ref="W34:W41" si="11">+N34-L34</f>
        <v>0.20833333333333398</v>
      </c>
      <c r="X34" s="146">
        <f t="shared" ref="X34:X41" si="12">+R34-P34</f>
        <v>0.125</v>
      </c>
      <c r="Y34" s="147">
        <f t="shared" ref="Y34:Y41" si="13">+X34+W34</f>
        <v>0.33333333333333398</v>
      </c>
      <c r="Z34" s="148"/>
      <c r="AA34" s="148"/>
      <c r="AB34" s="148"/>
      <c r="AC34" s="148"/>
      <c r="AD34" s="148"/>
      <c r="AE34" s="148"/>
      <c r="AF34" s="148"/>
      <c r="AG34" s="148"/>
      <c r="AH34" s="148"/>
      <c r="AI34" s="148"/>
      <c r="AJ34" s="148"/>
      <c r="AK34" s="148"/>
      <c r="AL34" s="148"/>
      <c r="AM34" s="148"/>
      <c r="AN34" s="148"/>
      <c r="AO34" s="148"/>
      <c r="AP34" s="148"/>
      <c r="AQ34" s="148"/>
      <c r="AR34" s="148"/>
      <c r="AS34" s="148"/>
    </row>
    <row r="35" spans="1:45" ht="18.5">
      <c r="A35" s="130"/>
      <c r="B35" s="141"/>
      <c r="C35" s="145" t="s">
        <v>13</v>
      </c>
      <c r="D35" s="525" t="s">
        <v>27</v>
      </c>
      <c r="E35" s="525"/>
      <c r="F35" s="525"/>
      <c r="G35" s="525"/>
      <c r="H35" s="525"/>
      <c r="I35" s="525"/>
      <c r="J35" s="525"/>
      <c r="K35" s="525"/>
      <c r="L35" s="527">
        <v>0.29166666666666702</v>
      </c>
      <c r="M35" s="528"/>
      <c r="N35" s="529">
        <v>0.54166666666666696</v>
      </c>
      <c r="O35" s="530">
        <v>0.54166666666666696</v>
      </c>
      <c r="P35" s="529">
        <v>0.58333333333333304</v>
      </c>
      <c r="Q35" s="530">
        <v>0.54166666666666696</v>
      </c>
      <c r="R35" s="531">
        <v>0.70833333333333304</v>
      </c>
      <c r="S35" s="531"/>
      <c r="T35" s="526">
        <v>9</v>
      </c>
      <c r="U35" s="526"/>
      <c r="V35" s="142"/>
      <c r="W35" s="146">
        <f t="shared" si="11"/>
        <v>0.24999999999999994</v>
      </c>
      <c r="X35" s="146">
        <f t="shared" si="12"/>
        <v>0.125</v>
      </c>
      <c r="Y35" s="147">
        <f t="shared" si="13"/>
        <v>0.37499999999999994</v>
      </c>
      <c r="Z35" s="148"/>
      <c r="AA35" s="148"/>
      <c r="AB35" s="148"/>
      <c r="AC35" s="148"/>
      <c r="AD35" s="148"/>
      <c r="AE35" s="148"/>
      <c r="AF35" s="148"/>
      <c r="AG35" s="148"/>
      <c r="AH35" s="148"/>
      <c r="AI35" s="148"/>
      <c r="AJ35" s="148"/>
      <c r="AK35" s="148"/>
      <c r="AL35" s="148"/>
      <c r="AM35" s="148"/>
      <c r="AN35" s="148"/>
      <c r="AO35" s="148"/>
      <c r="AP35" s="148"/>
      <c r="AQ35" s="148"/>
      <c r="AR35" s="148"/>
      <c r="AS35" s="148"/>
    </row>
    <row r="36" spans="1:45" ht="18.5">
      <c r="A36" s="130"/>
      <c r="B36" s="141"/>
      <c r="C36" s="145" t="s">
        <v>33</v>
      </c>
      <c r="D36" s="525" t="s">
        <v>27</v>
      </c>
      <c r="E36" s="525"/>
      <c r="F36" s="525"/>
      <c r="G36" s="525"/>
      <c r="H36" s="525"/>
      <c r="I36" s="525"/>
      <c r="J36" s="525"/>
      <c r="K36" s="525"/>
      <c r="L36" s="527">
        <v>0.33333333333333298</v>
      </c>
      <c r="M36" s="528"/>
      <c r="N36" s="529">
        <v>0.5</v>
      </c>
      <c r="O36" s="530"/>
      <c r="P36" s="529">
        <v>0.54166666666666696</v>
      </c>
      <c r="Q36" s="530"/>
      <c r="R36" s="531">
        <v>0.66666666666666696</v>
      </c>
      <c r="S36" s="531"/>
      <c r="T36" s="526">
        <v>7</v>
      </c>
      <c r="U36" s="526"/>
      <c r="V36" s="142"/>
      <c r="W36" s="146">
        <f t="shared" si="11"/>
        <v>0.16666666666666702</v>
      </c>
      <c r="X36" s="146">
        <f t="shared" si="12"/>
        <v>0.125</v>
      </c>
      <c r="Y36" s="147">
        <f t="shared" si="13"/>
        <v>0.29166666666666702</v>
      </c>
      <c r="Z36" s="148"/>
      <c r="AA36" s="148"/>
      <c r="AB36" s="148"/>
      <c r="AC36" s="148"/>
      <c r="AD36" s="148"/>
      <c r="AE36" s="148"/>
      <c r="AF36" s="148"/>
      <c r="AG36" s="148"/>
      <c r="AH36" s="148"/>
      <c r="AI36" s="148"/>
      <c r="AJ36" s="148"/>
      <c r="AK36" s="148"/>
      <c r="AL36" s="148"/>
      <c r="AM36" s="148"/>
      <c r="AN36" s="148"/>
      <c r="AO36" s="148"/>
      <c r="AP36" s="148"/>
      <c r="AQ36" s="148"/>
      <c r="AR36" s="148"/>
      <c r="AS36" s="148"/>
    </row>
    <row r="37" spans="1:45" ht="18.5">
      <c r="A37" s="130"/>
      <c r="C37" s="145" t="s">
        <v>32</v>
      </c>
      <c r="D37" s="525" t="s">
        <v>27</v>
      </c>
      <c r="E37" s="525"/>
      <c r="F37" s="525"/>
      <c r="G37" s="525"/>
      <c r="H37" s="525"/>
      <c r="I37" s="525"/>
      <c r="J37" s="525"/>
      <c r="K37" s="525"/>
      <c r="L37" s="527">
        <v>0.33333333333333298</v>
      </c>
      <c r="M37" s="528"/>
      <c r="N37" s="529">
        <v>0.5</v>
      </c>
      <c r="O37" s="530"/>
      <c r="P37" s="529">
        <v>0.54166666666666696</v>
      </c>
      <c r="Q37" s="530"/>
      <c r="R37" s="531">
        <v>0.70833333333333304</v>
      </c>
      <c r="S37" s="531"/>
      <c r="T37" s="526">
        <v>8</v>
      </c>
      <c r="U37" s="526"/>
      <c r="V37" s="142"/>
      <c r="W37" s="146">
        <f t="shared" si="11"/>
        <v>0.16666666666666702</v>
      </c>
      <c r="X37" s="146">
        <f t="shared" si="12"/>
        <v>0.16666666666666607</v>
      </c>
      <c r="Y37" s="147">
        <f t="shared" si="13"/>
        <v>0.33333333333333309</v>
      </c>
      <c r="Z37" s="148"/>
      <c r="AA37" s="148"/>
      <c r="AB37" s="148"/>
      <c r="AC37" s="148"/>
      <c r="AD37" s="148"/>
      <c r="AE37" s="148"/>
      <c r="AF37" s="148"/>
      <c r="AG37" s="148"/>
      <c r="AH37" s="148"/>
      <c r="AI37" s="148"/>
      <c r="AJ37" s="148"/>
      <c r="AK37" s="148"/>
      <c r="AL37" s="148"/>
      <c r="AM37" s="148"/>
      <c r="AN37" s="148"/>
      <c r="AO37" s="148"/>
      <c r="AP37" s="148"/>
      <c r="AQ37" s="148"/>
      <c r="AR37" s="148"/>
      <c r="AS37" s="148"/>
    </row>
    <row r="38" spans="1:45" ht="18.5">
      <c r="A38" s="130"/>
      <c r="C38" s="145" t="s">
        <v>73</v>
      </c>
      <c r="D38" s="525" t="s">
        <v>27</v>
      </c>
      <c r="E38" s="525"/>
      <c r="F38" s="525"/>
      <c r="G38" s="525"/>
      <c r="H38" s="525"/>
      <c r="I38" s="525"/>
      <c r="J38" s="525"/>
      <c r="K38" s="525"/>
      <c r="L38" s="527">
        <v>0.29166666666666702</v>
      </c>
      <c r="M38" s="528"/>
      <c r="N38" s="529">
        <v>0.5</v>
      </c>
      <c r="O38" s="530"/>
      <c r="P38" s="529">
        <v>0.54166666666666696</v>
      </c>
      <c r="Q38" s="530"/>
      <c r="R38" s="531">
        <v>0.70833333333333304</v>
      </c>
      <c r="S38" s="531"/>
      <c r="T38" s="526">
        <v>9</v>
      </c>
      <c r="U38" s="526"/>
      <c r="V38" s="142"/>
      <c r="W38" s="146">
        <f t="shared" si="11"/>
        <v>0.20833333333333298</v>
      </c>
      <c r="X38" s="146">
        <f t="shared" si="12"/>
        <v>0.16666666666666607</v>
      </c>
      <c r="Y38" s="147">
        <f t="shared" si="13"/>
        <v>0.37499999999999906</v>
      </c>
      <c r="Z38" s="148"/>
      <c r="AA38" s="148"/>
      <c r="AB38" s="148"/>
      <c r="AC38" s="148"/>
      <c r="AD38" s="148"/>
      <c r="AE38" s="148"/>
      <c r="AF38" s="148"/>
      <c r="AG38" s="148"/>
      <c r="AH38" s="148"/>
      <c r="AI38" s="148"/>
      <c r="AJ38" s="148"/>
      <c r="AK38" s="148"/>
      <c r="AL38" s="148"/>
      <c r="AM38" s="148"/>
      <c r="AN38" s="148"/>
      <c r="AO38" s="148"/>
      <c r="AP38" s="148"/>
      <c r="AQ38" s="148"/>
      <c r="AR38" s="148"/>
      <c r="AS38" s="148"/>
    </row>
    <row r="39" spans="1:45" ht="18.5">
      <c r="A39" s="130"/>
      <c r="C39" s="145" t="s">
        <v>74</v>
      </c>
      <c r="D39" s="525" t="s">
        <v>27</v>
      </c>
      <c r="E39" s="525"/>
      <c r="F39" s="525"/>
      <c r="G39" s="525"/>
      <c r="H39" s="525"/>
      <c r="I39" s="525"/>
      <c r="J39" s="525"/>
      <c r="K39" s="525"/>
      <c r="L39" s="527">
        <v>0.29166666666666702</v>
      </c>
      <c r="M39" s="528"/>
      <c r="N39" s="529">
        <v>0.54166666666666696</v>
      </c>
      <c r="O39" s="530">
        <v>0.54166666666666696</v>
      </c>
      <c r="P39" s="529">
        <v>0.58333333333333304</v>
      </c>
      <c r="Q39" s="530">
        <v>0.54166666666666696</v>
      </c>
      <c r="R39" s="531">
        <v>0.66666666666666696</v>
      </c>
      <c r="S39" s="531"/>
      <c r="T39" s="526">
        <v>8</v>
      </c>
      <c r="U39" s="526"/>
      <c r="V39" s="142"/>
      <c r="W39" s="146">
        <f t="shared" si="11"/>
        <v>0.24999999999999994</v>
      </c>
      <c r="X39" s="146">
        <f t="shared" si="12"/>
        <v>8.3333333333333925E-2</v>
      </c>
      <c r="Y39" s="147">
        <f t="shared" si="13"/>
        <v>0.33333333333333387</v>
      </c>
      <c r="Z39" s="148"/>
      <c r="AA39" s="148"/>
      <c r="AB39" s="148"/>
      <c r="AC39" s="148"/>
      <c r="AD39" s="148"/>
      <c r="AE39" s="148"/>
      <c r="AF39" s="148"/>
      <c r="AG39" s="148"/>
      <c r="AH39" s="148"/>
      <c r="AI39" s="148"/>
      <c r="AJ39" s="148"/>
      <c r="AK39" s="148"/>
      <c r="AL39" s="148"/>
      <c r="AM39" s="148"/>
      <c r="AN39" s="148"/>
      <c r="AO39" s="148"/>
      <c r="AP39" s="148"/>
      <c r="AQ39" s="148"/>
      <c r="AR39" s="148"/>
      <c r="AS39" s="148"/>
    </row>
    <row r="40" spans="1:45" ht="18.5">
      <c r="A40" s="130"/>
      <c r="C40" s="145" t="s">
        <v>8</v>
      </c>
      <c r="D40" s="525" t="s">
        <v>28</v>
      </c>
      <c r="E40" s="525"/>
      <c r="F40" s="525"/>
      <c r="G40" s="525"/>
      <c r="H40" s="525"/>
      <c r="I40" s="525"/>
      <c r="J40" s="525"/>
      <c r="K40" s="525"/>
      <c r="L40" s="525"/>
      <c r="M40" s="525"/>
      <c r="N40" s="525"/>
      <c r="O40" s="525"/>
      <c r="P40" s="525"/>
      <c r="Q40" s="525"/>
      <c r="R40" s="525"/>
      <c r="S40" s="525"/>
      <c r="T40" s="518">
        <v>0</v>
      </c>
      <c r="U40" s="518"/>
      <c r="V40" s="142"/>
      <c r="W40" s="146">
        <f t="shared" si="11"/>
        <v>0</v>
      </c>
      <c r="X40" s="146">
        <f t="shared" si="12"/>
        <v>0</v>
      </c>
      <c r="Y40" s="147">
        <f t="shared" si="13"/>
        <v>0</v>
      </c>
      <c r="Z40" s="148"/>
      <c r="AA40" s="148"/>
      <c r="AB40" s="148"/>
      <c r="AC40" s="148"/>
      <c r="AD40" s="148"/>
      <c r="AE40" s="148"/>
      <c r="AF40" s="148"/>
      <c r="AG40" s="148"/>
      <c r="AH40" s="148"/>
      <c r="AI40" s="148"/>
      <c r="AJ40" s="148"/>
      <c r="AK40" s="148"/>
      <c r="AL40" s="148"/>
      <c r="AM40" s="148"/>
      <c r="AN40" s="148"/>
      <c r="AO40" s="148"/>
      <c r="AP40" s="148"/>
      <c r="AQ40" s="148"/>
      <c r="AR40" s="148"/>
      <c r="AS40" s="148"/>
    </row>
    <row r="41" spans="1:45" ht="18.5">
      <c r="A41" s="130"/>
      <c r="C41" s="145" t="s">
        <v>15</v>
      </c>
      <c r="D41" s="519" t="s">
        <v>29</v>
      </c>
      <c r="E41" s="520"/>
      <c r="F41" s="520"/>
      <c r="G41" s="520"/>
      <c r="H41" s="520"/>
      <c r="I41" s="520"/>
      <c r="J41" s="520"/>
      <c r="K41" s="520"/>
      <c r="L41" s="520"/>
      <c r="M41" s="520"/>
      <c r="N41" s="520"/>
      <c r="O41" s="520"/>
      <c r="P41" s="520"/>
      <c r="Q41" s="520"/>
      <c r="R41" s="520"/>
      <c r="S41" s="521"/>
      <c r="T41" s="522">
        <v>3</v>
      </c>
      <c r="U41" s="522"/>
      <c r="V41" s="142"/>
      <c r="W41" s="146">
        <f t="shared" si="11"/>
        <v>0</v>
      </c>
      <c r="X41" s="146">
        <f t="shared" si="12"/>
        <v>0</v>
      </c>
      <c r="Y41" s="147">
        <f t="shared" si="13"/>
        <v>0</v>
      </c>
      <c r="Z41" s="148"/>
      <c r="AA41" s="148"/>
      <c r="AB41" s="148"/>
      <c r="AC41" s="148"/>
      <c r="AD41" s="148"/>
      <c r="AE41" s="148"/>
      <c r="AF41" s="148"/>
      <c r="AG41" s="148"/>
      <c r="AH41" s="148"/>
      <c r="AI41" s="148"/>
      <c r="AJ41" s="148"/>
      <c r="AK41" s="148"/>
      <c r="AL41" s="148"/>
      <c r="AM41" s="148"/>
      <c r="AN41" s="148"/>
      <c r="AO41" s="148"/>
      <c r="AP41" s="148"/>
      <c r="AQ41" s="148"/>
      <c r="AR41" s="148"/>
      <c r="AS41" s="148"/>
    </row>
    <row r="42" spans="1:45" ht="15.5">
      <c r="A42" s="130"/>
      <c r="B42" s="141"/>
      <c r="C42" s="141"/>
      <c r="D42" s="149"/>
      <c r="E42" s="149"/>
      <c r="F42" s="149"/>
      <c r="G42" s="149"/>
      <c r="H42" s="149"/>
      <c r="I42" s="149"/>
      <c r="J42" s="149"/>
      <c r="K42" s="149"/>
      <c r="L42" s="149"/>
      <c r="M42" s="149"/>
      <c r="N42" s="149"/>
      <c r="O42" s="149"/>
      <c r="P42" s="149"/>
      <c r="Q42" s="149"/>
      <c r="R42" s="149"/>
      <c r="S42" s="149"/>
      <c r="T42" s="150"/>
      <c r="U42" s="150"/>
      <c r="V42" s="151"/>
      <c r="W42" s="151"/>
      <c r="X42" s="151"/>
      <c r="Y42" s="151"/>
      <c r="Z42" s="151"/>
      <c r="AA42" s="151"/>
      <c r="AB42" s="151"/>
      <c r="AC42" s="151"/>
      <c r="AD42" s="151"/>
      <c r="AE42" s="151"/>
      <c r="AF42" s="151"/>
      <c r="AG42" s="151"/>
      <c r="AH42" s="151"/>
      <c r="AI42" s="151"/>
      <c r="AJ42" s="151"/>
      <c r="AK42" s="151"/>
      <c r="AL42" s="151"/>
      <c r="AM42" s="151"/>
      <c r="AN42" s="151"/>
      <c r="AO42" s="151"/>
      <c r="AP42" s="151"/>
      <c r="AQ42" s="151"/>
      <c r="AR42" s="151"/>
      <c r="AS42" s="130"/>
    </row>
    <row r="43" spans="1:45" ht="15.5">
      <c r="A43" s="130"/>
      <c r="B43" s="141"/>
      <c r="C43" s="141"/>
      <c r="D43" s="149"/>
      <c r="E43" s="149"/>
      <c r="F43" s="149"/>
      <c r="G43" s="149"/>
      <c r="H43" s="149"/>
      <c r="I43" s="149"/>
      <c r="J43" s="149"/>
      <c r="K43" s="149"/>
      <c r="L43" s="149"/>
      <c r="M43" s="149"/>
      <c r="N43" s="149"/>
      <c r="O43" s="149"/>
      <c r="P43" s="149"/>
      <c r="Q43" s="149"/>
      <c r="R43" s="149"/>
      <c r="S43" s="149"/>
      <c r="T43" s="150"/>
      <c r="U43" s="150"/>
      <c r="V43" s="151"/>
      <c r="W43" s="151"/>
      <c r="X43" s="151"/>
      <c r="Y43" s="151"/>
      <c r="Z43" s="151"/>
      <c r="AA43" s="151"/>
      <c r="AB43" s="151"/>
      <c r="AC43" s="151"/>
      <c r="AD43" s="151"/>
      <c r="AE43" s="151"/>
      <c r="AF43" s="151"/>
      <c r="AG43" s="151"/>
      <c r="AH43" s="151"/>
      <c r="AI43" s="151"/>
      <c r="AJ43" s="151"/>
      <c r="AK43" s="151"/>
      <c r="AL43" s="151"/>
      <c r="AM43" s="151"/>
      <c r="AN43" s="151"/>
      <c r="AO43" s="151"/>
      <c r="AP43" s="151"/>
      <c r="AQ43" s="151"/>
      <c r="AR43" s="151"/>
      <c r="AS43" s="130"/>
    </row>
    <row r="44" spans="1:45" ht="15.5">
      <c r="A44" s="130"/>
      <c r="B44" s="141"/>
      <c r="C44" s="141"/>
      <c r="D44" s="149"/>
      <c r="E44" s="149"/>
      <c r="F44" s="149"/>
      <c r="G44" s="149"/>
      <c r="H44" s="149"/>
      <c r="I44" s="149"/>
      <c r="J44" s="149"/>
      <c r="K44" s="149"/>
      <c r="L44" s="149"/>
      <c r="M44" s="149"/>
      <c r="N44" s="149"/>
      <c r="O44" s="149"/>
      <c r="P44" s="149"/>
      <c r="Q44" s="149"/>
      <c r="R44" s="149"/>
      <c r="S44" s="149"/>
      <c r="T44" s="150"/>
      <c r="U44" s="150"/>
      <c r="V44" s="151"/>
      <c r="W44" s="151"/>
      <c r="X44" s="151"/>
      <c r="Y44" s="151"/>
      <c r="Z44" s="151"/>
      <c r="AA44" s="151"/>
      <c r="AB44" s="151"/>
      <c r="AC44" s="151"/>
      <c r="AD44" s="151"/>
      <c r="AE44" s="151"/>
      <c r="AF44" s="151"/>
      <c r="AG44" s="151"/>
      <c r="AH44" s="151"/>
      <c r="AI44" s="151"/>
      <c r="AJ44" s="151"/>
      <c r="AK44" s="151"/>
      <c r="AL44" s="151"/>
      <c r="AM44" s="151"/>
      <c r="AN44" s="151"/>
      <c r="AO44" s="151"/>
      <c r="AP44" s="151"/>
      <c r="AQ44" s="151"/>
      <c r="AR44" s="151"/>
      <c r="AS44" s="130"/>
    </row>
    <row r="45" spans="1:45" ht="15.5">
      <c r="A45" s="130"/>
      <c r="B45" s="141"/>
      <c r="C45" s="141"/>
      <c r="D45" s="149"/>
      <c r="E45" s="149"/>
      <c r="F45" s="149"/>
      <c r="G45" s="149"/>
      <c r="H45" s="149"/>
      <c r="I45" s="149"/>
      <c r="J45" s="149"/>
      <c r="K45" s="149"/>
      <c r="L45" s="149"/>
      <c r="M45" s="149"/>
      <c r="N45" s="149"/>
      <c r="O45" s="149"/>
      <c r="P45" s="149"/>
      <c r="Q45" s="149"/>
      <c r="R45" s="149"/>
      <c r="S45" s="149"/>
      <c r="T45" s="150"/>
      <c r="U45" s="150"/>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151"/>
      <c r="AS45" s="130"/>
    </row>
    <row r="46" spans="1:45" ht="15.5">
      <c r="A46" s="130"/>
      <c r="B46" s="141"/>
      <c r="C46" s="141"/>
      <c r="D46" s="149"/>
      <c r="E46" s="149"/>
      <c r="F46" s="149"/>
      <c r="G46" s="149"/>
      <c r="H46" s="149"/>
      <c r="I46" s="149"/>
      <c r="J46" s="149"/>
      <c r="K46" s="149"/>
      <c r="L46" s="149"/>
      <c r="M46" s="149"/>
      <c r="N46" s="149"/>
      <c r="O46" s="149"/>
      <c r="P46" s="149"/>
      <c r="Q46" s="149"/>
      <c r="R46" s="149"/>
      <c r="S46" s="149"/>
      <c r="T46" s="150"/>
      <c r="U46" s="150"/>
      <c r="V46" s="151"/>
      <c r="W46" s="151"/>
      <c r="X46" s="151"/>
      <c r="Y46" s="151"/>
      <c r="Z46" s="151"/>
      <c r="AA46" s="151"/>
      <c r="AB46" s="151"/>
      <c r="AC46" s="151"/>
      <c r="AD46" s="151"/>
      <c r="AE46" s="151"/>
      <c r="AF46" s="151"/>
      <c r="AG46" s="151"/>
      <c r="AH46" s="151"/>
      <c r="AI46" s="151"/>
      <c r="AJ46" s="151"/>
      <c r="AK46" s="151"/>
      <c r="AL46" s="151"/>
      <c r="AM46" s="151"/>
      <c r="AN46" s="151"/>
      <c r="AO46" s="151"/>
      <c r="AP46" s="151"/>
      <c r="AQ46" s="151"/>
      <c r="AR46" s="151"/>
      <c r="AS46" s="130"/>
    </row>
    <row r="47" spans="1:45" ht="15.5">
      <c r="A47" s="130"/>
      <c r="B47" s="141"/>
      <c r="C47" s="141"/>
      <c r="D47" s="149"/>
      <c r="E47" s="149"/>
      <c r="F47" s="149"/>
      <c r="G47" s="149"/>
      <c r="H47" s="149"/>
      <c r="I47" s="149"/>
      <c r="J47" s="149"/>
      <c r="K47" s="149"/>
      <c r="L47" s="149"/>
      <c r="M47" s="149"/>
      <c r="N47" s="149"/>
      <c r="O47" s="149"/>
      <c r="P47" s="149"/>
      <c r="Q47" s="149"/>
      <c r="R47" s="149"/>
      <c r="S47" s="149"/>
      <c r="T47" s="150"/>
      <c r="U47" s="150"/>
      <c r="V47" s="151"/>
      <c r="W47" s="151"/>
      <c r="X47" s="151"/>
      <c r="Y47" s="151"/>
      <c r="Z47" s="151"/>
      <c r="AA47" s="151"/>
      <c r="AB47" s="151"/>
      <c r="AC47" s="151"/>
      <c r="AD47" s="151"/>
      <c r="AE47" s="151"/>
      <c r="AF47" s="151"/>
      <c r="AG47" s="151"/>
      <c r="AH47" s="151"/>
      <c r="AI47" s="151"/>
      <c r="AJ47" s="151"/>
      <c r="AK47" s="151"/>
      <c r="AL47" s="151"/>
      <c r="AM47" s="151"/>
      <c r="AN47" s="151"/>
      <c r="AO47" s="151"/>
      <c r="AP47" s="151"/>
      <c r="AQ47" s="151"/>
      <c r="AR47" s="151"/>
      <c r="AS47" s="130"/>
    </row>
    <row r="48" spans="1:45" ht="15.5">
      <c r="A48" s="130"/>
      <c r="B48" s="141"/>
      <c r="C48" s="141"/>
      <c r="D48" s="149"/>
      <c r="E48" s="149"/>
      <c r="F48" s="149"/>
      <c r="G48" s="149"/>
      <c r="H48" s="149"/>
      <c r="I48" s="149"/>
      <c r="J48" s="149"/>
      <c r="K48" s="149"/>
      <c r="L48" s="149"/>
      <c r="M48" s="149"/>
      <c r="N48" s="149"/>
      <c r="O48" s="149"/>
      <c r="P48" s="149"/>
      <c r="Q48" s="149"/>
      <c r="R48" s="149"/>
      <c r="S48" s="149"/>
      <c r="T48" s="150"/>
      <c r="U48" s="150"/>
      <c r="V48" s="151"/>
      <c r="W48" s="151"/>
      <c r="X48" s="151"/>
      <c r="Y48" s="151"/>
      <c r="Z48" s="151"/>
      <c r="AA48" s="151"/>
      <c r="AB48" s="151"/>
      <c r="AC48" s="151"/>
      <c r="AD48" s="151"/>
      <c r="AE48" s="151"/>
      <c r="AF48" s="151"/>
      <c r="AG48" s="151"/>
      <c r="AH48" s="151"/>
      <c r="AI48" s="151"/>
      <c r="AJ48" s="151"/>
      <c r="AK48" s="151"/>
      <c r="AL48" s="151"/>
      <c r="AM48" s="151"/>
      <c r="AN48" s="151"/>
      <c r="AO48" s="151"/>
      <c r="AP48" s="151"/>
      <c r="AQ48" s="151"/>
      <c r="AR48" s="151"/>
      <c r="AS48" s="130"/>
    </row>
    <row r="49" spans="1:46" ht="15.5">
      <c r="A49" s="130"/>
      <c r="B49" s="141"/>
      <c r="C49" s="141"/>
      <c r="D49" s="149"/>
      <c r="E49" s="149"/>
      <c r="F49" s="149"/>
      <c r="G49" s="149"/>
      <c r="H49" s="149"/>
      <c r="I49" s="149"/>
      <c r="J49" s="149"/>
      <c r="K49" s="149"/>
      <c r="L49" s="149"/>
      <c r="M49" s="149"/>
      <c r="N49" s="149"/>
      <c r="O49" s="149"/>
      <c r="P49" s="149"/>
      <c r="Q49" s="149"/>
      <c r="R49" s="149"/>
      <c r="S49" s="149"/>
      <c r="T49" s="150"/>
      <c r="U49" s="150"/>
      <c r="V49" s="151"/>
      <c r="W49" s="151"/>
      <c r="X49" s="151"/>
      <c r="Y49" s="151"/>
      <c r="Z49" s="151"/>
      <c r="AA49" s="151"/>
      <c r="AB49" s="151"/>
      <c r="AC49" s="151"/>
      <c r="AD49" s="151"/>
      <c r="AE49" s="151"/>
      <c r="AF49" s="151"/>
      <c r="AG49" s="151"/>
      <c r="AH49" s="151"/>
      <c r="AI49" s="151"/>
      <c r="AJ49" s="151"/>
      <c r="AK49" s="151"/>
      <c r="AL49" s="151"/>
      <c r="AM49" s="151"/>
      <c r="AN49" s="151"/>
      <c r="AO49" s="151"/>
      <c r="AP49" s="151"/>
      <c r="AQ49" s="151"/>
      <c r="AR49" s="151"/>
      <c r="AS49" s="130"/>
    </row>
    <row r="50" spans="1:46" ht="15.5">
      <c r="A50" s="130"/>
      <c r="B50" s="141"/>
      <c r="C50" s="141"/>
      <c r="D50" s="149"/>
      <c r="E50" s="149"/>
      <c r="F50" s="149"/>
      <c r="G50" s="149"/>
      <c r="H50" s="149"/>
      <c r="I50" s="149"/>
      <c r="J50" s="149"/>
      <c r="K50" s="149"/>
      <c r="L50" s="149"/>
      <c r="M50" s="149"/>
      <c r="N50" s="149"/>
      <c r="O50" s="149"/>
      <c r="P50" s="149"/>
      <c r="Q50" s="149"/>
      <c r="R50" s="149"/>
      <c r="S50" s="149"/>
      <c r="T50" s="150"/>
      <c r="U50" s="150"/>
      <c r="V50" s="151"/>
      <c r="W50" s="151"/>
      <c r="X50" s="151"/>
      <c r="Y50" s="151"/>
      <c r="Z50" s="151"/>
      <c r="AA50" s="151"/>
      <c r="AB50" s="151"/>
      <c r="AC50" s="151"/>
      <c r="AD50" s="151"/>
      <c r="AE50" s="151"/>
      <c r="AF50" s="151"/>
      <c r="AG50" s="151"/>
      <c r="AH50" s="151"/>
      <c r="AI50" s="151"/>
      <c r="AJ50" s="151"/>
      <c r="AK50" s="151"/>
      <c r="AL50" s="151"/>
      <c r="AM50" s="151"/>
      <c r="AN50" s="151"/>
      <c r="AO50" s="151"/>
      <c r="AP50" s="151"/>
      <c r="AQ50" s="151"/>
      <c r="AR50" s="151"/>
      <c r="AS50" s="130"/>
    </row>
    <row r="51" spans="1:46" ht="15.5">
      <c r="A51" s="130"/>
      <c r="B51" s="141"/>
      <c r="C51" s="141"/>
      <c r="D51" s="149"/>
      <c r="E51" s="149"/>
      <c r="F51" s="149"/>
      <c r="G51" s="149"/>
      <c r="H51" s="149"/>
      <c r="I51" s="149"/>
      <c r="J51" s="149"/>
      <c r="K51" s="149"/>
      <c r="L51" s="149"/>
      <c r="M51" s="149"/>
      <c r="N51" s="149"/>
      <c r="O51" s="149"/>
      <c r="P51" s="149"/>
      <c r="Q51" s="149"/>
      <c r="R51" s="149"/>
      <c r="S51" s="149"/>
      <c r="T51" s="150"/>
      <c r="U51" s="150"/>
      <c r="V51" s="151"/>
      <c r="W51" s="151"/>
      <c r="X51" s="151"/>
      <c r="Y51" s="151"/>
      <c r="Z51" s="151"/>
      <c r="AA51" s="151"/>
      <c r="AB51" s="151"/>
      <c r="AC51" s="151"/>
      <c r="AD51" s="151"/>
      <c r="AE51" s="151"/>
      <c r="AF51" s="151"/>
      <c r="AG51" s="151"/>
      <c r="AH51" s="151"/>
      <c r="AI51" s="151"/>
      <c r="AJ51" s="151"/>
      <c r="AK51" s="151"/>
      <c r="AL51" s="151"/>
      <c r="AM51" s="151"/>
      <c r="AN51" s="151"/>
      <c r="AO51" s="151"/>
      <c r="AP51" s="151"/>
      <c r="AQ51" s="151"/>
      <c r="AR51" s="151"/>
      <c r="AS51" s="130"/>
    </row>
    <row r="52" spans="1:46" ht="15.5">
      <c r="A52" s="90"/>
      <c r="B52" s="90"/>
      <c r="C52" s="90"/>
      <c r="D52" s="152"/>
      <c r="E52" s="152"/>
      <c r="F52" s="152"/>
      <c r="G52" s="152"/>
      <c r="H52" s="152"/>
      <c r="I52" s="152"/>
      <c r="J52" s="152"/>
      <c r="K52" s="152"/>
      <c r="L52" s="90"/>
      <c r="M52" s="90"/>
      <c r="N52" s="90"/>
      <c r="O52" s="90"/>
      <c r="P52" s="90"/>
      <c r="Q52" s="90"/>
      <c r="R52" s="90"/>
      <c r="S52" s="90"/>
      <c r="T52" s="152"/>
      <c r="U52" s="153"/>
      <c r="V52" s="90"/>
      <c r="W52" s="90"/>
      <c r="X52" s="90"/>
      <c r="Y52" s="154"/>
      <c r="Z52" s="154"/>
      <c r="AA52" s="154"/>
      <c r="AB52" s="154"/>
      <c r="AC52" s="154"/>
      <c r="AD52" s="154"/>
      <c r="AE52" s="154"/>
      <c r="AF52" s="154"/>
      <c r="AG52" s="154"/>
      <c r="AH52" s="154"/>
      <c r="AI52" s="154"/>
      <c r="AJ52" s="154"/>
      <c r="AK52" s="154"/>
      <c r="AL52" s="154"/>
      <c r="AM52" s="154"/>
      <c r="AN52" s="154"/>
      <c r="AO52" s="154"/>
      <c r="AP52" s="90"/>
      <c r="AQ52" s="90"/>
      <c r="AR52" s="90"/>
      <c r="AS52" s="90"/>
    </row>
    <row r="53" spans="1:46" ht="15.5">
      <c r="A53" s="155"/>
      <c r="B53" s="156"/>
      <c r="C53" s="157"/>
      <c r="D53" s="155"/>
      <c r="E53" s="155"/>
      <c r="F53" s="155"/>
      <c r="G53" s="155"/>
      <c r="H53" s="155"/>
      <c r="I53" s="155"/>
      <c r="J53" s="155"/>
      <c r="K53" s="155"/>
      <c r="L53" s="158"/>
      <c r="M53" s="158"/>
      <c r="N53" s="158"/>
      <c r="O53" s="158"/>
      <c r="P53" s="158"/>
      <c r="Q53" s="158"/>
      <c r="R53" s="158"/>
      <c r="S53" s="159"/>
      <c r="T53" s="155"/>
      <c r="U53" s="155"/>
      <c r="V53" s="155"/>
      <c r="W53" s="155"/>
      <c r="X53" s="160"/>
      <c r="Y53" s="161"/>
      <c r="Z53" s="161"/>
      <c r="AA53" s="161"/>
      <c r="AB53" s="161"/>
      <c r="AC53" s="161"/>
      <c r="AD53" s="161"/>
      <c r="AE53" s="161"/>
      <c r="AF53" s="161"/>
      <c r="AG53" s="161"/>
      <c r="AH53" s="161"/>
      <c r="AI53" s="161"/>
      <c r="AJ53" s="161"/>
      <c r="AK53" s="161"/>
      <c r="AL53" s="161"/>
      <c r="AM53" s="161"/>
      <c r="AN53" s="161"/>
      <c r="AO53" s="161"/>
      <c r="AP53" s="155"/>
      <c r="AQ53" s="155"/>
      <c r="AR53" s="155"/>
      <c r="AS53" s="155"/>
    </row>
    <row r="54" spans="1:46" ht="18.5">
      <c r="A54" s="162"/>
      <c r="B54" s="163" t="s">
        <v>30</v>
      </c>
      <c r="C54" s="163"/>
      <c r="D54" s="162"/>
      <c r="E54" s="162"/>
      <c r="F54" s="162"/>
      <c r="G54" s="162"/>
      <c r="H54" s="164"/>
      <c r="I54" s="164"/>
      <c r="J54" s="164"/>
      <c r="K54" s="164"/>
      <c r="L54" s="165" t="s">
        <v>76</v>
      </c>
      <c r="M54" s="164"/>
      <c r="N54" s="164"/>
      <c r="O54" s="164"/>
      <c r="P54" s="164"/>
      <c r="Q54" s="164"/>
      <c r="R54" s="164"/>
      <c r="S54" s="155"/>
      <c r="T54" s="155"/>
      <c r="U54" s="155"/>
      <c r="V54" s="164"/>
      <c r="W54" s="164"/>
      <c r="X54" s="160"/>
      <c r="Y54" s="523" t="s">
        <v>101</v>
      </c>
      <c r="Z54" s="523"/>
      <c r="AA54" s="523"/>
      <c r="AB54" s="523"/>
      <c r="AC54" s="523"/>
      <c r="AD54" s="523"/>
      <c r="AE54" s="523"/>
      <c r="AF54" s="523"/>
      <c r="AG54" s="523"/>
      <c r="AH54" s="523"/>
      <c r="AI54" s="523"/>
      <c r="AJ54" s="523"/>
      <c r="AK54" s="523"/>
      <c r="AL54" s="523"/>
      <c r="AM54" s="523"/>
      <c r="AN54" s="523"/>
      <c r="AO54" s="523"/>
      <c r="AR54" s="164"/>
      <c r="AS54" s="162"/>
    </row>
    <row r="55" spans="1:46" ht="18.5">
      <c r="A55" s="155"/>
      <c r="B55" s="166" t="s">
        <v>31</v>
      </c>
      <c r="C55" s="166"/>
      <c r="D55" s="155"/>
      <c r="E55" s="155"/>
      <c r="F55" s="155"/>
      <c r="G55" s="155"/>
      <c r="H55" s="155"/>
      <c r="I55" s="155"/>
      <c r="J55" s="155"/>
      <c r="K55" s="155"/>
      <c r="L55" s="166" t="s">
        <v>77</v>
      </c>
      <c r="M55" s="155"/>
      <c r="N55" s="155"/>
      <c r="O55" s="155"/>
      <c r="P55" s="155"/>
      <c r="Q55" s="164"/>
      <c r="R55" s="164"/>
      <c r="S55" s="155"/>
      <c r="T55" s="155"/>
      <c r="U55" s="155"/>
      <c r="V55" s="155"/>
      <c r="W55" s="155"/>
      <c r="X55" s="167"/>
      <c r="Y55" s="524" t="s">
        <v>99</v>
      </c>
      <c r="Z55" s="524"/>
      <c r="AA55" s="524"/>
      <c r="AB55" s="524"/>
      <c r="AC55" s="524"/>
      <c r="AD55" s="524"/>
      <c r="AE55" s="524"/>
      <c r="AF55" s="524"/>
      <c r="AG55" s="524"/>
      <c r="AH55" s="524"/>
      <c r="AI55" s="524"/>
      <c r="AJ55" s="524"/>
      <c r="AK55" s="524"/>
      <c r="AL55" s="524"/>
      <c r="AM55" s="524"/>
      <c r="AN55" s="524"/>
      <c r="AO55" s="524"/>
      <c r="AR55" s="155"/>
      <c r="AS55" s="155"/>
    </row>
    <row r="56" spans="1:46">
      <c r="D56" s="85"/>
      <c r="E56" s="85"/>
      <c r="F56" s="85"/>
      <c r="G56" s="85"/>
      <c r="H56" s="85"/>
      <c r="R56" s="85"/>
      <c r="S56" s="85"/>
      <c r="T56" s="85"/>
    </row>
    <row r="57" spans="1:46" s="80" customFormat="1">
      <c r="AT57" s="84"/>
    </row>
  </sheetData>
  <mergeCells count="64">
    <mergeCell ref="C11:AN11"/>
    <mergeCell ref="B2:B5"/>
    <mergeCell ref="D2:AN5"/>
    <mergeCell ref="AQ3:AR3"/>
    <mergeCell ref="AQ4:AR4"/>
    <mergeCell ref="AQ5:AR5"/>
    <mergeCell ref="B12:B13"/>
    <mergeCell ref="AN12:AN13"/>
    <mergeCell ref="AO12:AO13"/>
    <mergeCell ref="C19:AN19"/>
    <mergeCell ref="B20:B21"/>
    <mergeCell ref="AN20:AN21"/>
    <mergeCell ref="AO20:AO21"/>
    <mergeCell ref="B28:AO28"/>
    <mergeCell ref="D32:U32"/>
    <mergeCell ref="D33:K33"/>
    <mergeCell ref="L33:M33"/>
    <mergeCell ref="N33:O33"/>
    <mergeCell ref="P33:Q33"/>
    <mergeCell ref="R33:S33"/>
    <mergeCell ref="T33:U33"/>
    <mergeCell ref="W33:Y33"/>
    <mergeCell ref="T35:U35"/>
    <mergeCell ref="D34:K34"/>
    <mergeCell ref="L34:M34"/>
    <mergeCell ref="N34:O34"/>
    <mergeCell ref="P34:Q34"/>
    <mergeCell ref="R34:S34"/>
    <mergeCell ref="T34:U34"/>
    <mergeCell ref="D35:K35"/>
    <mergeCell ref="L35:M35"/>
    <mergeCell ref="N35:O35"/>
    <mergeCell ref="P35:Q35"/>
    <mergeCell ref="R35:S35"/>
    <mergeCell ref="T37:U37"/>
    <mergeCell ref="D36:K36"/>
    <mergeCell ref="L36:M36"/>
    <mergeCell ref="N36:O36"/>
    <mergeCell ref="P36:Q36"/>
    <mergeCell ref="R36:S36"/>
    <mergeCell ref="T36:U36"/>
    <mergeCell ref="D37:K37"/>
    <mergeCell ref="L37:M37"/>
    <mergeCell ref="N37:O37"/>
    <mergeCell ref="P37:Q37"/>
    <mergeCell ref="R37:S37"/>
    <mergeCell ref="T39:U39"/>
    <mergeCell ref="D38:K38"/>
    <mergeCell ref="L38:M38"/>
    <mergeCell ref="N38:O38"/>
    <mergeCell ref="P38:Q38"/>
    <mergeCell ref="R38:S38"/>
    <mergeCell ref="T38:U38"/>
    <mergeCell ref="D39:K39"/>
    <mergeCell ref="L39:M39"/>
    <mergeCell ref="N39:O39"/>
    <mergeCell ref="P39:Q39"/>
    <mergeCell ref="R39:S39"/>
    <mergeCell ref="T40:U40"/>
    <mergeCell ref="D41:S41"/>
    <mergeCell ref="T41:U41"/>
    <mergeCell ref="Y54:AO54"/>
    <mergeCell ref="Y55:AO55"/>
    <mergeCell ref="D40:S40"/>
  </mergeCells>
  <conditionalFormatting sqref="U13 C14:AM17">
    <cfRule type="containsText" dxfId="39" priority="8" operator="containsText" text="L">
      <formula>NOT(ISERROR(SEARCH("L",C13)))</formula>
    </cfRule>
  </conditionalFormatting>
  <conditionalFormatting sqref="U21">
    <cfRule type="containsText" dxfId="38" priority="5" operator="containsText" text="L">
      <formula>NOT(ISERROR(SEARCH("L",U21)))</formula>
    </cfRule>
  </conditionalFormatting>
  <conditionalFormatting sqref="AC13">
    <cfRule type="containsText" dxfId="37" priority="7" operator="containsText" text="L">
      <formula>NOT(ISERROR(SEARCH("L",AC13)))</formula>
    </cfRule>
  </conditionalFormatting>
  <conditionalFormatting sqref="AC21">
    <cfRule type="containsText" dxfId="36" priority="4" operator="containsText" text="L">
      <formula>NOT(ISERROR(SEARCH("L",AC21)))</formula>
    </cfRule>
  </conditionalFormatting>
  <conditionalFormatting sqref="AK13">
    <cfRule type="containsText" dxfId="35" priority="6" operator="containsText" text="L">
      <formula>NOT(ISERROR(SEARCH("L",AK13)))</formula>
    </cfRule>
  </conditionalFormatting>
  <conditionalFormatting sqref="AK21">
    <cfRule type="containsText" dxfId="34" priority="3" operator="containsText" text="L">
      <formula>NOT(ISERROR(SEARCH("L",AK21)))</formula>
    </cfRule>
  </conditionalFormatting>
  <conditionalFormatting sqref="AM13">
    <cfRule type="containsText" dxfId="33" priority="2" operator="containsText" text="L">
      <formula>NOT(ISERROR(SEARCH("L",AM13)))</formula>
    </cfRule>
  </conditionalFormatting>
  <conditionalFormatting sqref="AM21">
    <cfRule type="containsText" dxfId="32" priority="1" operator="containsText" text="L">
      <formula>NOT(ISERROR(SEARCH("L",AM21)))</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4D674-9B49-4F81-980B-DCFF678A3A14}">
  <dimension ref="A2:AS48"/>
  <sheetViews>
    <sheetView showGridLines="0" topLeftCell="A9" zoomScale="70" zoomScaleNormal="70" workbookViewId="0">
      <selection activeCell="AH35" sqref="AH35"/>
    </sheetView>
  </sheetViews>
  <sheetFormatPr baseColWidth="10" defaultColWidth="11.453125" defaultRowHeight="14.5"/>
  <cols>
    <col min="1" max="1" width="11.453125" style="168"/>
    <col min="2" max="2" width="54.26953125" style="168" customWidth="1"/>
    <col min="3" max="19" width="5.54296875" style="168" customWidth="1"/>
    <col min="20" max="22" width="5.1796875" style="168" customWidth="1"/>
    <col min="23" max="40" width="5.453125" style="168" customWidth="1"/>
    <col min="41" max="41" width="29.453125" style="168" customWidth="1"/>
    <col min="42" max="42" width="7.7265625" style="168" customWidth="1"/>
    <col min="43" max="43" width="6.7265625" style="168" customWidth="1"/>
    <col min="44" max="44" width="22.26953125" style="168" customWidth="1"/>
    <col min="45" max="45" width="11.453125" style="168"/>
    <col min="46" max="16384" width="11.453125" style="171"/>
  </cols>
  <sheetData>
    <row r="2" spans="1:45" ht="26">
      <c r="B2" s="588"/>
      <c r="C2" s="169"/>
      <c r="D2" s="591" t="s">
        <v>0</v>
      </c>
      <c r="E2" s="591"/>
      <c r="F2" s="591"/>
      <c r="G2" s="591"/>
      <c r="H2" s="591"/>
      <c r="I2" s="591"/>
      <c r="J2" s="591"/>
      <c r="K2" s="591"/>
      <c r="L2" s="591"/>
      <c r="M2" s="591"/>
      <c r="N2" s="591"/>
      <c r="O2" s="591"/>
      <c r="P2" s="591"/>
      <c r="Q2" s="591"/>
      <c r="R2" s="591"/>
      <c r="S2" s="591"/>
      <c r="T2" s="591"/>
      <c r="U2" s="591"/>
      <c r="V2" s="591"/>
      <c r="W2" s="591"/>
      <c r="X2" s="591"/>
      <c r="Y2" s="591"/>
      <c r="Z2" s="591"/>
      <c r="AA2" s="591"/>
      <c r="AB2" s="591"/>
      <c r="AC2" s="591"/>
      <c r="AD2" s="591"/>
      <c r="AE2" s="591"/>
      <c r="AF2" s="591"/>
      <c r="AG2" s="591"/>
      <c r="AH2" s="591"/>
      <c r="AI2" s="591"/>
      <c r="AJ2" s="591"/>
      <c r="AK2" s="591"/>
      <c r="AL2" s="591"/>
      <c r="AM2" s="591"/>
      <c r="AN2" s="591"/>
      <c r="AO2" s="170"/>
      <c r="AP2" s="170"/>
      <c r="AQ2" s="83" t="s">
        <v>1</v>
      </c>
      <c r="AR2" s="83"/>
    </row>
    <row r="3" spans="1:45" ht="26">
      <c r="B3" s="589"/>
      <c r="C3" s="172"/>
      <c r="D3" s="592"/>
      <c r="E3" s="592"/>
      <c r="F3" s="592"/>
      <c r="G3" s="592"/>
      <c r="H3" s="592"/>
      <c r="I3" s="592"/>
      <c r="J3" s="592"/>
      <c r="K3" s="592"/>
      <c r="L3" s="592"/>
      <c r="M3" s="592"/>
      <c r="N3" s="592"/>
      <c r="O3" s="592"/>
      <c r="P3" s="592"/>
      <c r="Q3" s="592"/>
      <c r="R3" s="592"/>
      <c r="S3" s="592"/>
      <c r="T3" s="592"/>
      <c r="U3" s="592"/>
      <c r="V3" s="592"/>
      <c r="W3" s="592"/>
      <c r="X3" s="592"/>
      <c r="Y3" s="592"/>
      <c r="Z3" s="592"/>
      <c r="AA3" s="592"/>
      <c r="AB3" s="592"/>
      <c r="AC3" s="592"/>
      <c r="AD3" s="592"/>
      <c r="AE3" s="592"/>
      <c r="AF3" s="592"/>
      <c r="AG3" s="592"/>
      <c r="AH3" s="592"/>
      <c r="AI3" s="592"/>
      <c r="AJ3" s="592"/>
      <c r="AK3" s="592"/>
      <c r="AL3" s="592"/>
      <c r="AM3" s="592"/>
      <c r="AN3" s="592"/>
      <c r="AO3" s="173"/>
      <c r="AP3" s="173"/>
      <c r="AQ3" s="560" t="s">
        <v>62</v>
      </c>
      <c r="AR3" s="561"/>
      <c r="AS3" s="174"/>
    </row>
    <row r="4" spans="1:45" ht="26">
      <c r="B4" s="589"/>
      <c r="C4" s="172"/>
      <c r="D4" s="592"/>
      <c r="E4" s="592"/>
      <c r="F4" s="592"/>
      <c r="G4" s="592"/>
      <c r="H4" s="592"/>
      <c r="I4" s="592"/>
      <c r="J4" s="592"/>
      <c r="K4" s="592"/>
      <c r="L4" s="592"/>
      <c r="M4" s="592"/>
      <c r="N4" s="592"/>
      <c r="O4" s="592"/>
      <c r="P4" s="592"/>
      <c r="Q4" s="592"/>
      <c r="R4" s="592"/>
      <c r="S4" s="592"/>
      <c r="T4" s="592"/>
      <c r="U4" s="592"/>
      <c r="V4" s="592"/>
      <c r="W4" s="592"/>
      <c r="X4" s="592"/>
      <c r="Y4" s="592"/>
      <c r="Z4" s="592"/>
      <c r="AA4" s="592"/>
      <c r="AB4" s="592"/>
      <c r="AC4" s="592"/>
      <c r="AD4" s="592"/>
      <c r="AE4" s="592"/>
      <c r="AF4" s="592"/>
      <c r="AG4" s="592"/>
      <c r="AH4" s="592"/>
      <c r="AI4" s="592"/>
      <c r="AJ4" s="592"/>
      <c r="AK4" s="592"/>
      <c r="AL4" s="592"/>
      <c r="AM4" s="592"/>
      <c r="AN4" s="592"/>
      <c r="AO4" s="173"/>
      <c r="AP4" s="173"/>
      <c r="AQ4" s="560" t="s">
        <v>63</v>
      </c>
      <c r="AR4" s="561"/>
      <c r="AS4" s="174"/>
    </row>
    <row r="5" spans="1:45" ht="26">
      <c r="B5" s="590"/>
      <c r="C5" s="175"/>
      <c r="D5" s="593"/>
      <c r="E5" s="593"/>
      <c r="F5" s="593"/>
      <c r="G5" s="593"/>
      <c r="H5" s="593"/>
      <c r="I5" s="593"/>
      <c r="J5" s="593"/>
      <c r="K5" s="593"/>
      <c r="L5" s="593"/>
      <c r="M5" s="593"/>
      <c r="N5" s="593"/>
      <c r="O5" s="593"/>
      <c r="P5" s="593"/>
      <c r="Q5" s="593"/>
      <c r="R5" s="593"/>
      <c r="S5" s="593"/>
      <c r="T5" s="593"/>
      <c r="U5" s="593"/>
      <c r="V5" s="593"/>
      <c r="W5" s="593"/>
      <c r="X5" s="593"/>
      <c r="Y5" s="593"/>
      <c r="Z5" s="593"/>
      <c r="AA5" s="593"/>
      <c r="AB5" s="593"/>
      <c r="AC5" s="593"/>
      <c r="AD5" s="593"/>
      <c r="AE5" s="593"/>
      <c r="AF5" s="593"/>
      <c r="AG5" s="593"/>
      <c r="AH5" s="593"/>
      <c r="AI5" s="593"/>
      <c r="AJ5" s="593"/>
      <c r="AK5" s="593"/>
      <c r="AL5" s="593"/>
      <c r="AM5" s="593"/>
      <c r="AN5" s="593"/>
      <c r="AO5" s="176"/>
      <c r="AP5" s="176"/>
      <c r="AQ5" s="560" t="s">
        <v>2</v>
      </c>
      <c r="AR5" s="561"/>
      <c r="AS5" s="174"/>
    </row>
    <row r="7" spans="1:45" ht="18.5">
      <c r="A7" s="177"/>
      <c r="B7" s="178" t="s">
        <v>3</v>
      </c>
      <c r="C7" s="179" t="s">
        <v>4</v>
      </c>
      <c r="D7" s="180"/>
      <c r="E7" s="180"/>
      <c r="F7" s="177"/>
      <c r="G7" s="177"/>
      <c r="H7" s="177"/>
      <c r="I7" s="177"/>
      <c r="K7" s="177"/>
      <c r="L7" s="177"/>
      <c r="M7" s="177"/>
      <c r="N7" s="177"/>
      <c r="O7" s="177"/>
      <c r="P7" s="177"/>
      <c r="Q7" s="177"/>
      <c r="R7" s="177"/>
      <c r="S7" s="177"/>
      <c r="T7" s="177"/>
      <c r="U7" s="177"/>
      <c r="V7" s="177"/>
      <c r="W7" s="177"/>
      <c r="X7" s="177"/>
      <c r="Y7" s="177"/>
      <c r="Z7" s="177"/>
      <c r="AA7" s="177"/>
      <c r="AB7" s="177"/>
      <c r="AC7" s="177"/>
      <c r="AD7" s="177"/>
      <c r="AE7" s="177"/>
      <c r="AF7" s="177"/>
      <c r="AG7" s="177"/>
      <c r="AH7" s="177"/>
      <c r="AI7" s="177"/>
      <c r="AJ7" s="177"/>
      <c r="AK7" s="177"/>
      <c r="AL7" s="177"/>
      <c r="AM7" s="177"/>
      <c r="AN7" s="177"/>
      <c r="AO7" s="177"/>
      <c r="AP7" s="177"/>
      <c r="AQ7" s="177"/>
      <c r="AR7" s="177"/>
      <c r="AS7" s="177"/>
    </row>
    <row r="8" spans="1:45" ht="18.5">
      <c r="A8" s="177"/>
      <c r="B8" s="178" t="s">
        <v>5</v>
      </c>
      <c r="C8" s="178" t="s">
        <v>78</v>
      </c>
      <c r="D8" s="180"/>
      <c r="E8" s="180"/>
      <c r="F8" s="177"/>
      <c r="G8" s="177"/>
      <c r="H8" s="177"/>
      <c r="I8" s="177"/>
      <c r="K8" s="177"/>
      <c r="L8" s="177"/>
      <c r="M8" s="177"/>
      <c r="N8" s="177"/>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row>
    <row r="9" spans="1:45" ht="18.5">
      <c r="A9" s="177"/>
      <c r="B9" s="178" t="s">
        <v>6</v>
      </c>
      <c r="C9" s="181" t="s">
        <v>79</v>
      </c>
      <c r="D9" s="182"/>
      <c r="E9" s="182"/>
      <c r="F9" s="177"/>
      <c r="G9" s="177"/>
      <c r="H9" s="177"/>
      <c r="I9" s="177"/>
      <c r="K9" s="177"/>
      <c r="L9" s="177"/>
      <c r="M9" s="177"/>
      <c r="N9" s="177"/>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row>
    <row r="10" spans="1:45" ht="16" thickBot="1">
      <c r="A10" s="177"/>
      <c r="B10" s="177"/>
      <c r="C10" s="177"/>
      <c r="D10" s="177"/>
      <c r="E10" s="177"/>
      <c r="F10" s="177"/>
      <c r="G10" s="177"/>
      <c r="H10" s="177"/>
      <c r="I10" s="177"/>
      <c r="J10" s="177"/>
      <c r="K10" s="177"/>
      <c r="L10" s="177"/>
      <c r="M10" s="177"/>
      <c r="N10" s="177"/>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row>
    <row r="11" spans="1:45" ht="16" thickBot="1">
      <c r="A11" s="177"/>
      <c r="B11" s="183" t="s">
        <v>26</v>
      </c>
      <c r="C11" s="594" t="s">
        <v>58</v>
      </c>
      <c r="D11" s="595"/>
      <c r="E11" s="595"/>
      <c r="F11" s="595"/>
      <c r="G11" s="595"/>
      <c r="H11" s="595"/>
      <c r="I11" s="595"/>
      <c r="J11" s="595"/>
      <c r="K11" s="595"/>
      <c r="L11" s="595"/>
      <c r="M11" s="595"/>
      <c r="N11" s="595"/>
      <c r="O11" s="595"/>
      <c r="P11" s="595"/>
      <c r="Q11" s="595"/>
      <c r="R11" s="595"/>
      <c r="S11" s="595"/>
      <c r="T11" s="595"/>
      <c r="U11" s="595"/>
      <c r="V11" s="595"/>
      <c r="W11" s="595"/>
      <c r="X11" s="595"/>
      <c r="Y11" s="595"/>
      <c r="Z11" s="595"/>
      <c r="AA11" s="595"/>
      <c r="AB11" s="595"/>
      <c r="AC11" s="595"/>
      <c r="AD11" s="595"/>
      <c r="AE11" s="595"/>
      <c r="AF11" s="595"/>
      <c r="AG11" s="595"/>
      <c r="AH11" s="595"/>
      <c r="AI11" s="595"/>
      <c r="AJ11" s="595"/>
      <c r="AK11" s="595"/>
      <c r="AL11" s="595"/>
      <c r="AM11" s="595"/>
      <c r="AN11" s="596"/>
      <c r="AO11" s="184"/>
      <c r="AP11" s="171"/>
      <c r="AQ11" s="171"/>
      <c r="AR11" s="171"/>
      <c r="AS11" s="185"/>
    </row>
    <row r="12" spans="1:45" ht="18.75" customHeight="1">
      <c r="A12" s="186"/>
      <c r="B12" s="581" t="s">
        <v>7</v>
      </c>
      <c r="C12" s="251" t="s">
        <v>12</v>
      </c>
      <c r="D12" s="187" t="s">
        <v>13</v>
      </c>
      <c r="E12" s="188" t="s">
        <v>14</v>
      </c>
      <c r="F12" s="189" t="s">
        <v>8</v>
      </c>
      <c r="G12" s="189" t="s">
        <v>9</v>
      </c>
      <c r="H12" s="189" t="s">
        <v>9</v>
      </c>
      <c r="I12" s="189" t="s">
        <v>10</v>
      </c>
      <c r="J12" s="187" t="s">
        <v>11</v>
      </c>
      <c r="K12" s="187" t="s">
        <v>12</v>
      </c>
      <c r="L12" s="187" t="s">
        <v>13</v>
      </c>
      <c r="M12" s="188" t="s">
        <v>14</v>
      </c>
      <c r="N12" s="189" t="s">
        <v>8</v>
      </c>
      <c r="O12" s="189" t="s">
        <v>9</v>
      </c>
      <c r="P12" s="189" t="s">
        <v>9</v>
      </c>
      <c r="Q12" s="189" t="s">
        <v>10</v>
      </c>
      <c r="R12" s="189" t="s">
        <v>11</v>
      </c>
      <c r="S12" s="187" t="s">
        <v>12</v>
      </c>
      <c r="T12" s="187" t="s">
        <v>13</v>
      </c>
      <c r="U12" s="188" t="s">
        <v>14</v>
      </c>
      <c r="V12" s="187" t="s">
        <v>8</v>
      </c>
      <c r="W12" s="189" t="s">
        <v>9</v>
      </c>
      <c r="X12" s="189" t="s">
        <v>9</v>
      </c>
      <c r="Y12" s="189" t="s">
        <v>10</v>
      </c>
      <c r="Z12" s="189" t="s">
        <v>11</v>
      </c>
      <c r="AA12" s="187" t="s">
        <v>12</v>
      </c>
      <c r="AB12" s="187" t="s">
        <v>13</v>
      </c>
      <c r="AC12" s="188" t="s">
        <v>14</v>
      </c>
      <c r="AD12" s="189" t="s">
        <v>8</v>
      </c>
      <c r="AE12" s="189" t="s">
        <v>9</v>
      </c>
      <c r="AF12" s="189" t="s">
        <v>9</v>
      </c>
      <c r="AG12" s="189" t="s">
        <v>10</v>
      </c>
      <c r="AH12" s="189" t="s">
        <v>11</v>
      </c>
      <c r="AI12" s="187" t="s">
        <v>12</v>
      </c>
      <c r="AJ12" s="187" t="s">
        <v>13</v>
      </c>
      <c r="AK12" s="188" t="s">
        <v>14</v>
      </c>
      <c r="AL12" s="189" t="s">
        <v>8</v>
      </c>
      <c r="AM12" s="188" t="s">
        <v>14</v>
      </c>
      <c r="AN12" s="582" t="s">
        <v>15</v>
      </c>
      <c r="AO12" s="584" t="s">
        <v>15</v>
      </c>
      <c r="AP12" s="185"/>
      <c r="AQ12" s="171"/>
      <c r="AR12" s="171"/>
      <c r="AS12" s="171"/>
    </row>
    <row r="13" spans="1:45" ht="18.75" customHeight="1">
      <c r="A13" s="186"/>
      <c r="B13" s="581"/>
      <c r="C13" s="203">
        <v>1</v>
      </c>
      <c r="D13" s="191">
        <v>2</v>
      </c>
      <c r="E13" s="192"/>
      <c r="F13" s="192">
        <v>3</v>
      </c>
      <c r="G13" s="192">
        <v>4</v>
      </c>
      <c r="H13" s="192">
        <v>5</v>
      </c>
      <c r="I13" s="193">
        <v>6</v>
      </c>
      <c r="J13" s="190">
        <v>7</v>
      </c>
      <c r="K13" s="190">
        <v>8</v>
      </c>
      <c r="L13" s="190">
        <v>9</v>
      </c>
      <c r="M13" s="192"/>
      <c r="N13" s="192">
        <v>10</v>
      </c>
      <c r="O13" s="192">
        <v>11</v>
      </c>
      <c r="P13" s="192">
        <v>12</v>
      </c>
      <c r="Q13" s="192">
        <v>13</v>
      </c>
      <c r="R13" s="192">
        <v>14</v>
      </c>
      <c r="S13" s="190">
        <v>15</v>
      </c>
      <c r="T13" s="190">
        <v>16</v>
      </c>
      <c r="U13" s="194"/>
      <c r="V13" s="191">
        <v>17</v>
      </c>
      <c r="W13" s="192">
        <v>18</v>
      </c>
      <c r="X13" s="192">
        <v>19</v>
      </c>
      <c r="Y13" s="192">
        <v>20</v>
      </c>
      <c r="Z13" s="192">
        <v>21</v>
      </c>
      <c r="AA13" s="191">
        <v>22</v>
      </c>
      <c r="AB13" s="191">
        <v>23</v>
      </c>
      <c r="AC13" s="194"/>
      <c r="AD13" s="192">
        <v>24</v>
      </c>
      <c r="AE13" s="192">
        <v>25</v>
      </c>
      <c r="AF13" s="192">
        <v>26</v>
      </c>
      <c r="AG13" s="192">
        <v>27</v>
      </c>
      <c r="AH13" s="192">
        <v>28</v>
      </c>
      <c r="AI13" s="191">
        <v>29</v>
      </c>
      <c r="AJ13" s="191">
        <v>30</v>
      </c>
      <c r="AK13" s="194"/>
      <c r="AL13" s="192">
        <v>31</v>
      </c>
      <c r="AM13" s="194"/>
      <c r="AN13" s="583"/>
      <c r="AO13" s="584"/>
      <c r="AP13" s="185"/>
      <c r="AQ13" s="171"/>
      <c r="AR13" s="171"/>
      <c r="AS13" s="171"/>
    </row>
    <row r="14" spans="1:45" ht="19" thickBot="1">
      <c r="A14" s="186"/>
      <c r="B14" s="195" t="s">
        <v>80</v>
      </c>
      <c r="C14" s="262" t="s">
        <v>8</v>
      </c>
      <c r="D14" s="196" t="s">
        <v>8</v>
      </c>
      <c r="E14" s="196"/>
      <c r="F14" s="196" t="s">
        <v>33</v>
      </c>
      <c r="G14" s="196" t="s">
        <v>33</v>
      </c>
      <c r="H14" s="196" t="s">
        <v>33</v>
      </c>
      <c r="I14" s="196" t="s">
        <v>33</v>
      </c>
      <c r="J14" s="196" t="s">
        <v>8</v>
      </c>
      <c r="K14" s="196" t="s">
        <v>8</v>
      </c>
      <c r="L14" s="196" t="s">
        <v>8</v>
      </c>
      <c r="M14" s="196"/>
      <c r="N14" s="196" t="s">
        <v>33</v>
      </c>
      <c r="O14" s="196" t="s">
        <v>33</v>
      </c>
      <c r="P14" s="196" t="s">
        <v>73</v>
      </c>
      <c r="Q14" s="196" t="s">
        <v>32</v>
      </c>
      <c r="R14" s="197" t="s">
        <v>32</v>
      </c>
      <c r="S14" s="196" t="s">
        <v>8</v>
      </c>
      <c r="T14" s="196" t="s">
        <v>8</v>
      </c>
      <c r="U14" s="196"/>
      <c r="V14" s="196" t="s">
        <v>8</v>
      </c>
      <c r="W14" s="196" t="s">
        <v>32</v>
      </c>
      <c r="X14" s="196" t="s">
        <v>32</v>
      </c>
      <c r="Y14" s="196" t="s">
        <v>13</v>
      </c>
      <c r="Z14" s="197" t="s">
        <v>32</v>
      </c>
      <c r="AA14" s="196" t="s">
        <v>8</v>
      </c>
      <c r="AB14" s="196" t="s">
        <v>8</v>
      </c>
      <c r="AC14" s="196"/>
      <c r="AD14" s="196" t="s">
        <v>32</v>
      </c>
      <c r="AE14" s="196" t="s">
        <v>17</v>
      </c>
      <c r="AF14" s="196" t="s">
        <v>17</v>
      </c>
      <c r="AG14" s="196" t="s">
        <v>17</v>
      </c>
      <c r="AH14" s="197" t="s">
        <v>17</v>
      </c>
      <c r="AI14" s="196" t="s">
        <v>8</v>
      </c>
      <c r="AJ14" s="198" t="s">
        <v>8</v>
      </c>
      <c r="AK14" s="198"/>
      <c r="AL14" s="198" t="s">
        <v>17</v>
      </c>
      <c r="AM14" s="198"/>
      <c r="AN14" s="263" t="s">
        <v>15</v>
      </c>
      <c r="AO14" s="261"/>
      <c r="AP14" s="185"/>
      <c r="AQ14" s="171"/>
      <c r="AR14" s="171"/>
      <c r="AS14" s="171"/>
    </row>
    <row r="15" spans="1:45" ht="15.5">
      <c r="A15" s="177"/>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200"/>
      <c r="AD15" s="200"/>
      <c r="AE15" s="200"/>
      <c r="AF15" s="200"/>
      <c r="AG15" s="200"/>
      <c r="AH15" s="200"/>
      <c r="AI15" s="200"/>
      <c r="AJ15" s="200"/>
      <c r="AK15" s="200"/>
      <c r="AL15" s="200"/>
      <c r="AM15" s="200"/>
      <c r="AN15" s="200"/>
      <c r="AO15" s="200"/>
      <c r="AP15" s="200"/>
      <c r="AQ15" s="200"/>
      <c r="AR15" s="200"/>
      <c r="AS15" s="185"/>
    </row>
    <row r="16" spans="1:45" ht="16" thickBot="1">
      <c r="A16" s="177"/>
      <c r="B16" s="201"/>
      <c r="C16" s="201"/>
      <c r="D16" s="201"/>
      <c r="E16" s="201"/>
      <c r="F16" s="201"/>
      <c r="G16" s="201"/>
      <c r="H16" s="201"/>
      <c r="I16" s="201"/>
      <c r="J16" s="201"/>
      <c r="K16" s="201"/>
      <c r="L16" s="201"/>
      <c r="M16" s="201"/>
      <c r="N16" s="201"/>
      <c r="O16" s="201"/>
      <c r="P16" s="201"/>
      <c r="Q16" s="201"/>
      <c r="R16" s="201"/>
      <c r="S16" s="201"/>
      <c r="T16" s="201"/>
      <c r="U16" s="201"/>
      <c r="V16" s="201"/>
      <c r="W16" s="201"/>
      <c r="X16" s="201"/>
      <c r="Y16" s="201"/>
      <c r="Z16" s="201"/>
      <c r="AA16" s="201"/>
      <c r="AB16" s="201"/>
      <c r="AC16" s="201"/>
      <c r="AD16" s="201"/>
      <c r="AE16" s="201"/>
      <c r="AF16" s="201"/>
      <c r="AG16" s="201"/>
      <c r="AH16" s="201"/>
      <c r="AI16" s="201"/>
      <c r="AJ16" s="201"/>
      <c r="AK16" s="201"/>
      <c r="AL16" s="201"/>
      <c r="AM16" s="201"/>
      <c r="AN16" s="201"/>
      <c r="AO16" s="201"/>
      <c r="AP16" s="185"/>
      <c r="AQ16" s="171"/>
      <c r="AR16" s="171"/>
      <c r="AS16" s="185"/>
    </row>
    <row r="17" spans="1:45" ht="18.75" customHeight="1" thickBot="1">
      <c r="A17" s="177"/>
      <c r="B17" s="183" t="s">
        <v>26</v>
      </c>
      <c r="C17" s="585" t="s">
        <v>58</v>
      </c>
      <c r="D17" s="586"/>
      <c r="E17" s="586"/>
      <c r="F17" s="586"/>
      <c r="G17" s="586"/>
      <c r="H17" s="586"/>
      <c r="I17" s="586"/>
      <c r="J17" s="586"/>
      <c r="K17" s="586"/>
      <c r="L17" s="586"/>
      <c r="M17" s="586"/>
      <c r="N17" s="586"/>
      <c r="O17" s="586"/>
      <c r="P17" s="586"/>
      <c r="Q17" s="586"/>
      <c r="R17" s="586"/>
      <c r="S17" s="586"/>
      <c r="T17" s="586"/>
      <c r="U17" s="586"/>
      <c r="V17" s="586"/>
      <c r="W17" s="586"/>
      <c r="X17" s="586"/>
      <c r="Y17" s="586"/>
      <c r="Z17" s="586"/>
      <c r="AA17" s="586"/>
      <c r="AB17" s="586"/>
      <c r="AC17" s="586"/>
      <c r="AD17" s="586"/>
      <c r="AE17" s="586"/>
      <c r="AF17" s="586"/>
      <c r="AG17" s="586"/>
      <c r="AH17" s="586"/>
      <c r="AI17" s="586"/>
      <c r="AJ17" s="586"/>
      <c r="AK17" s="586"/>
      <c r="AL17" s="586"/>
      <c r="AM17" s="586"/>
      <c r="AN17" s="587"/>
      <c r="AO17" s="202"/>
      <c r="AP17" s="185"/>
      <c r="AQ17" s="171"/>
      <c r="AR17" s="171"/>
      <c r="AS17" s="171"/>
    </row>
    <row r="18" spans="1:45" ht="19.5" customHeight="1">
      <c r="A18" s="177"/>
      <c r="B18" s="581" t="s">
        <v>7</v>
      </c>
      <c r="C18" s="251" t="s">
        <v>12</v>
      </c>
      <c r="D18" s="187" t="s">
        <v>13</v>
      </c>
      <c r="E18" s="188" t="s">
        <v>14</v>
      </c>
      <c r="F18" s="189" t="s">
        <v>8</v>
      </c>
      <c r="G18" s="189" t="s">
        <v>9</v>
      </c>
      <c r="H18" s="189" t="s">
        <v>9</v>
      </c>
      <c r="I18" s="189" t="s">
        <v>10</v>
      </c>
      <c r="J18" s="187" t="s">
        <v>11</v>
      </c>
      <c r="K18" s="187" t="s">
        <v>12</v>
      </c>
      <c r="L18" s="187" t="s">
        <v>13</v>
      </c>
      <c r="M18" s="188" t="s">
        <v>14</v>
      </c>
      <c r="N18" s="189" t="s">
        <v>8</v>
      </c>
      <c r="O18" s="189" t="s">
        <v>9</v>
      </c>
      <c r="P18" s="189" t="s">
        <v>9</v>
      </c>
      <c r="Q18" s="189" t="s">
        <v>10</v>
      </c>
      <c r="R18" s="189" t="s">
        <v>11</v>
      </c>
      <c r="S18" s="187" t="s">
        <v>12</v>
      </c>
      <c r="T18" s="187" t="s">
        <v>13</v>
      </c>
      <c r="U18" s="188" t="s">
        <v>14</v>
      </c>
      <c r="V18" s="187" t="s">
        <v>8</v>
      </c>
      <c r="W18" s="189" t="s">
        <v>9</v>
      </c>
      <c r="X18" s="189" t="s">
        <v>9</v>
      </c>
      <c r="Y18" s="189" t="s">
        <v>10</v>
      </c>
      <c r="Z18" s="189" t="s">
        <v>11</v>
      </c>
      <c r="AA18" s="187" t="s">
        <v>12</v>
      </c>
      <c r="AB18" s="187" t="s">
        <v>13</v>
      </c>
      <c r="AC18" s="188" t="s">
        <v>14</v>
      </c>
      <c r="AD18" s="189" t="s">
        <v>8</v>
      </c>
      <c r="AE18" s="189" t="s">
        <v>9</v>
      </c>
      <c r="AF18" s="189" t="s">
        <v>9</v>
      </c>
      <c r="AG18" s="189" t="s">
        <v>10</v>
      </c>
      <c r="AH18" s="189" t="s">
        <v>11</v>
      </c>
      <c r="AI18" s="187" t="s">
        <v>12</v>
      </c>
      <c r="AJ18" s="187" t="s">
        <v>13</v>
      </c>
      <c r="AK18" s="188" t="s">
        <v>14</v>
      </c>
      <c r="AL18" s="189" t="s">
        <v>8</v>
      </c>
      <c r="AM18" s="188" t="s">
        <v>14</v>
      </c>
      <c r="AN18" s="582" t="s">
        <v>15</v>
      </c>
      <c r="AO18" s="584" t="s">
        <v>15</v>
      </c>
      <c r="AP18" s="185"/>
      <c r="AQ18" s="171"/>
      <c r="AR18" s="171"/>
      <c r="AS18" s="171"/>
    </row>
    <row r="19" spans="1:45" ht="18.75" customHeight="1">
      <c r="A19" s="177"/>
      <c r="B19" s="581"/>
      <c r="C19" s="203">
        <v>1</v>
      </c>
      <c r="D19" s="191">
        <v>2</v>
      </c>
      <c r="E19" s="192"/>
      <c r="F19" s="192">
        <v>3</v>
      </c>
      <c r="G19" s="192">
        <v>4</v>
      </c>
      <c r="H19" s="192">
        <v>5</v>
      </c>
      <c r="I19" s="193">
        <v>6</v>
      </c>
      <c r="J19" s="190">
        <v>7</v>
      </c>
      <c r="K19" s="190">
        <v>8</v>
      </c>
      <c r="L19" s="190">
        <v>9</v>
      </c>
      <c r="M19" s="192"/>
      <c r="N19" s="192">
        <v>10</v>
      </c>
      <c r="O19" s="192">
        <v>11</v>
      </c>
      <c r="P19" s="192">
        <v>12</v>
      </c>
      <c r="Q19" s="192">
        <v>13</v>
      </c>
      <c r="R19" s="192">
        <v>14</v>
      </c>
      <c r="S19" s="190">
        <v>15</v>
      </c>
      <c r="T19" s="190">
        <v>16</v>
      </c>
      <c r="U19" s="194"/>
      <c r="V19" s="190">
        <v>17</v>
      </c>
      <c r="W19" s="192">
        <v>18</v>
      </c>
      <c r="X19" s="192">
        <v>19</v>
      </c>
      <c r="Y19" s="192">
        <v>20</v>
      </c>
      <c r="Z19" s="192">
        <v>21</v>
      </c>
      <c r="AA19" s="190">
        <v>22</v>
      </c>
      <c r="AB19" s="190">
        <v>23</v>
      </c>
      <c r="AC19" s="194"/>
      <c r="AD19" s="192">
        <v>24</v>
      </c>
      <c r="AE19" s="192">
        <v>25</v>
      </c>
      <c r="AF19" s="192">
        <v>26</v>
      </c>
      <c r="AG19" s="192">
        <v>27</v>
      </c>
      <c r="AH19" s="192">
        <v>28</v>
      </c>
      <c r="AI19" s="190">
        <v>29</v>
      </c>
      <c r="AJ19" s="190">
        <v>30</v>
      </c>
      <c r="AK19" s="194"/>
      <c r="AL19" s="192">
        <v>31</v>
      </c>
      <c r="AM19" s="194"/>
      <c r="AN19" s="583"/>
      <c r="AO19" s="584"/>
      <c r="AP19" s="185"/>
      <c r="AQ19" s="204"/>
      <c r="AR19" s="171"/>
      <c r="AS19" s="171"/>
    </row>
    <row r="20" spans="1:45" ht="18.5">
      <c r="A20" s="177"/>
      <c r="B20" s="205" t="str">
        <f>B14</f>
        <v>CAROL PAOLA CORREA BERMUDEZ</v>
      </c>
      <c r="C20" s="206">
        <f>VLOOKUP(C14,$D$29:$U$36,18,FALSE)</f>
        <v>0</v>
      </c>
      <c r="D20" s="194">
        <f t="shared" ref="D20:AL20" si="0">VLOOKUP(D14,$D$29:$U$36,18,FALSE)</f>
        <v>0</v>
      </c>
      <c r="E20" s="194">
        <f>C20+D20</f>
        <v>0</v>
      </c>
      <c r="F20" s="194">
        <f t="shared" si="0"/>
        <v>7</v>
      </c>
      <c r="G20" s="194">
        <f t="shared" si="0"/>
        <v>7</v>
      </c>
      <c r="H20" s="194">
        <f t="shared" si="0"/>
        <v>7</v>
      </c>
      <c r="I20" s="194">
        <f t="shared" si="0"/>
        <v>7</v>
      </c>
      <c r="J20" s="190">
        <f t="shared" si="0"/>
        <v>0</v>
      </c>
      <c r="K20" s="190">
        <f t="shared" si="0"/>
        <v>0</v>
      </c>
      <c r="L20" s="190">
        <f t="shared" si="0"/>
        <v>0</v>
      </c>
      <c r="M20" s="194">
        <f>F20+G20+H20+I20+J20+K20+L20</f>
        <v>28</v>
      </c>
      <c r="N20" s="194">
        <f t="shared" si="0"/>
        <v>7</v>
      </c>
      <c r="O20" s="194">
        <f t="shared" si="0"/>
        <v>7</v>
      </c>
      <c r="P20" s="194">
        <f t="shared" si="0"/>
        <v>6</v>
      </c>
      <c r="Q20" s="194">
        <f t="shared" si="0"/>
        <v>12</v>
      </c>
      <c r="R20" s="194">
        <f t="shared" si="0"/>
        <v>12</v>
      </c>
      <c r="S20" s="190">
        <f t="shared" si="0"/>
        <v>0</v>
      </c>
      <c r="T20" s="190">
        <f t="shared" si="0"/>
        <v>0</v>
      </c>
      <c r="U20" s="194">
        <f>N20+O20+P20+Q20+R20+S20+T20</f>
        <v>44</v>
      </c>
      <c r="V20" s="190">
        <f t="shared" si="0"/>
        <v>0</v>
      </c>
      <c r="W20" s="194">
        <f t="shared" si="0"/>
        <v>12</v>
      </c>
      <c r="X20" s="194">
        <f t="shared" si="0"/>
        <v>12</v>
      </c>
      <c r="Y20" s="194">
        <f t="shared" si="0"/>
        <v>7</v>
      </c>
      <c r="Z20" s="194">
        <f t="shared" si="0"/>
        <v>12</v>
      </c>
      <c r="AA20" s="190">
        <f t="shared" si="0"/>
        <v>0</v>
      </c>
      <c r="AB20" s="190">
        <f t="shared" si="0"/>
        <v>0</v>
      </c>
      <c r="AC20" s="194">
        <f>V20+W20+X20+Y20+Z20+AA20+AB20</f>
        <v>43</v>
      </c>
      <c r="AD20" s="194">
        <f t="shared" si="0"/>
        <v>12</v>
      </c>
      <c r="AE20" s="194">
        <f t="shared" si="0"/>
        <v>8</v>
      </c>
      <c r="AF20" s="194">
        <f t="shared" si="0"/>
        <v>8</v>
      </c>
      <c r="AG20" s="194">
        <f t="shared" si="0"/>
        <v>8</v>
      </c>
      <c r="AH20" s="194">
        <f t="shared" si="0"/>
        <v>8</v>
      </c>
      <c r="AI20" s="190">
        <f t="shared" si="0"/>
        <v>0</v>
      </c>
      <c r="AJ20" s="190">
        <f t="shared" si="0"/>
        <v>0</v>
      </c>
      <c r="AK20" s="194">
        <f>AD20+AE20+AF20+AG20+AH20+AI20+AJ20</f>
        <v>44</v>
      </c>
      <c r="AL20" s="194">
        <f t="shared" si="0"/>
        <v>8</v>
      </c>
      <c r="AM20" s="194">
        <f>AL20</f>
        <v>8</v>
      </c>
      <c r="AN20" s="252">
        <v>1</v>
      </c>
      <c r="AO20" s="259">
        <f>E20+M20+U20+AC20+AK20+AM20+AN20</f>
        <v>168</v>
      </c>
      <c r="AP20" s="185"/>
      <c r="AQ20" s="204"/>
      <c r="AR20" s="171"/>
      <c r="AS20" s="171"/>
    </row>
    <row r="21" spans="1:45" ht="19" thickBot="1">
      <c r="A21" s="207"/>
      <c r="B21" s="208" t="s">
        <v>18</v>
      </c>
      <c r="C21" s="209">
        <f t="shared" ref="C21:AN21" si="1">C20</f>
        <v>0</v>
      </c>
      <c r="D21" s="210">
        <f t="shared" si="1"/>
        <v>0</v>
      </c>
      <c r="E21" s="211"/>
      <c r="F21" s="211">
        <f t="shared" si="1"/>
        <v>7</v>
      </c>
      <c r="G21" s="211">
        <f t="shared" si="1"/>
        <v>7</v>
      </c>
      <c r="H21" s="211">
        <f t="shared" si="1"/>
        <v>7</v>
      </c>
      <c r="I21" s="211">
        <f t="shared" si="1"/>
        <v>7</v>
      </c>
      <c r="J21" s="212">
        <f t="shared" si="1"/>
        <v>0</v>
      </c>
      <c r="K21" s="212">
        <f t="shared" si="1"/>
        <v>0</v>
      </c>
      <c r="L21" s="212">
        <f t="shared" si="1"/>
        <v>0</v>
      </c>
      <c r="M21" s="211"/>
      <c r="N21" s="211">
        <f t="shared" si="1"/>
        <v>7</v>
      </c>
      <c r="O21" s="211">
        <f t="shared" si="1"/>
        <v>7</v>
      </c>
      <c r="P21" s="211">
        <f t="shared" si="1"/>
        <v>6</v>
      </c>
      <c r="Q21" s="211">
        <f t="shared" si="1"/>
        <v>12</v>
      </c>
      <c r="R21" s="211">
        <f t="shared" si="1"/>
        <v>12</v>
      </c>
      <c r="S21" s="212">
        <f t="shared" si="1"/>
        <v>0</v>
      </c>
      <c r="T21" s="212">
        <f t="shared" si="1"/>
        <v>0</v>
      </c>
      <c r="U21" s="211"/>
      <c r="V21" s="212">
        <f t="shared" si="1"/>
        <v>0</v>
      </c>
      <c r="W21" s="211">
        <f t="shared" si="1"/>
        <v>12</v>
      </c>
      <c r="X21" s="211">
        <f t="shared" si="1"/>
        <v>12</v>
      </c>
      <c r="Y21" s="211">
        <f t="shared" si="1"/>
        <v>7</v>
      </c>
      <c r="Z21" s="211">
        <f t="shared" si="1"/>
        <v>12</v>
      </c>
      <c r="AA21" s="212">
        <f t="shared" si="1"/>
        <v>0</v>
      </c>
      <c r="AB21" s="212">
        <f t="shared" si="1"/>
        <v>0</v>
      </c>
      <c r="AC21" s="211"/>
      <c r="AD21" s="211">
        <f t="shared" si="1"/>
        <v>12</v>
      </c>
      <c r="AE21" s="211">
        <f t="shared" si="1"/>
        <v>8</v>
      </c>
      <c r="AF21" s="211">
        <f t="shared" si="1"/>
        <v>8</v>
      </c>
      <c r="AG21" s="211">
        <f t="shared" si="1"/>
        <v>8</v>
      </c>
      <c r="AH21" s="211">
        <f t="shared" si="1"/>
        <v>8</v>
      </c>
      <c r="AI21" s="212">
        <f t="shared" si="1"/>
        <v>0</v>
      </c>
      <c r="AJ21" s="212">
        <f t="shared" si="1"/>
        <v>0</v>
      </c>
      <c r="AK21" s="196"/>
      <c r="AL21" s="211">
        <f t="shared" si="1"/>
        <v>8</v>
      </c>
      <c r="AM21" s="211"/>
      <c r="AN21" s="256">
        <f t="shared" si="1"/>
        <v>1</v>
      </c>
      <c r="AO21" s="260"/>
      <c r="AP21" s="213"/>
      <c r="AQ21" s="171"/>
      <c r="AR21" s="171"/>
      <c r="AS21" s="171"/>
    </row>
    <row r="22" spans="1:45" s="215" customFormat="1" ht="15.5">
      <c r="A22" s="214"/>
      <c r="B22" s="214"/>
      <c r="C22" s="214"/>
      <c r="D22" s="214"/>
      <c r="E22" s="214"/>
      <c r="F22" s="214"/>
      <c r="G22" s="214"/>
      <c r="H22" s="214"/>
      <c r="I22" s="214"/>
      <c r="J22" s="214"/>
      <c r="K22" s="214"/>
      <c r="L22" s="214"/>
      <c r="M22" s="214"/>
      <c r="N22" s="214"/>
      <c r="O22" s="214"/>
      <c r="P22" s="214"/>
      <c r="Q22" s="214"/>
      <c r="R22" s="214"/>
      <c r="S22" s="214"/>
      <c r="T22" s="214"/>
      <c r="U22" s="214"/>
      <c r="V22" s="214"/>
      <c r="W22" s="214"/>
      <c r="X22" s="214"/>
      <c r="Y22" s="214"/>
      <c r="Z22" s="214"/>
      <c r="AA22" s="214"/>
      <c r="AB22" s="214"/>
      <c r="AC22" s="214"/>
      <c r="AD22" s="214"/>
      <c r="AE22" s="214"/>
      <c r="AF22" s="214"/>
      <c r="AG22" s="214"/>
      <c r="AH22" s="214"/>
      <c r="AI22" s="214"/>
      <c r="AJ22" s="214"/>
      <c r="AK22" s="214"/>
      <c r="AL22" s="214"/>
      <c r="AM22" s="214"/>
      <c r="AN22" s="214"/>
      <c r="AO22" s="214"/>
      <c r="AP22" s="214"/>
      <c r="AQ22" s="214"/>
      <c r="AR22" s="214"/>
      <c r="AS22" s="214"/>
    </row>
    <row r="23" spans="1:45" ht="48.75" customHeight="1">
      <c r="A23" s="207"/>
      <c r="B23" s="598" t="s">
        <v>19</v>
      </c>
      <c r="C23" s="598"/>
      <c r="D23" s="598"/>
      <c r="E23" s="598"/>
      <c r="F23" s="598"/>
      <c r="G23" s="598"/>
      <c r="H23" s="599"/>
      <c r="I23" s="599"/>
      <c r="J23" s="598"/>
      <c r="K23" s="598"/>
      <c r="L23" s="598"/>
      <c r="M23" s="598"/>
      <c r="N23" s="598"/>
      <c r="O23" s="598"/>
      <c r="P23" s="599"/>
      <c r="Q23" s="599"/>
      <c r="R23" s="598"/>
      <c r="S23" s="598"/>
      <c r="T23" s="598"/>
      <c r="U23" s="598"/>
      <c r="V23" s="599"/>
      <c r="W23" s="598"/>
      <c r="X23" s="599"/>
      <c r="Y23" s="599"/>
      <c r="Z23" s="598"/>
      <c r="AA23" s="598"/>
      <c r="AB23" s="598"/>
      <c r="AC23" s="598"/>
      <c r="AD23" s="598"/>
      <c r="AE23" s="598"/>
      <c r="AF23" s="599"/>
      <c r="AG23" s="599"/>
      <c r="AH23" s="598"/>
      <c r="AI23" s="598"/>
      <c r="AJ23" s="598"/>
      <c r="AK23" s="598"/>
      <c r="AL23" s="598"/>
      <c r="AM23" s="598"/>
      <c r="AN23" s="598"/>
      <c r="AO23" s="598"/>
      <c r="AP23" s="598"/>
      <c r="AQ23" s="598"/>
      <c r="AR23" s="598"/>
      <c r="AS23" s="216"/>
    </row>
    <row r="24" spans="1:45" ht="15.5">
      <c r="A24" s="207"/>
      <c r="B24" s="217"/>
      <c r="C24" s="217"/>
      <c r="D24" s="218"/>
      <c r="E24" s="218"/>
      <c r="F24" s="218"/>
      <c r="G24" s="218"/>
      <c r="H24" s="218"/>
      <c r="I24" s="218"/>
      <c r="J24" s="218"/>
      <c r="K24" s="218"/>
      <c r="L24" s="218"/>
      <c r="M24" s="218"/>
      <c r="N24" s="218"/>
      <c r="O24" s="218"/>
      <c r="P24" s="218"/>
      <c r="Q24" s="218"/>
      <c r="R24" s="218"/>
      <c r="S24" s="218"/>
      <c r="T24" s="218"/>
      <c r="U24" s="218"/>
      <c r="V24" s="218"/>
      <c r="W24" s="218"/>
      <c r="X24" s="218"/>
      <c r="Y24" s="218"/>
      <c r="Z24" s="218"/>
      <c r="AA24" s="218"/>
      <c r="AB24" s="218"/>
      <c r="AC24" s="218"/>
      <c r="AD24" s="218"/>
      <c r="AE24" s="218"/>
      <c r="AF24" s="218"/>
      <c r="AG24" s="218"/>
      <c r="AH24" s="218"/>
      <c r="AI24" s="218"/>
      <c r="AJ24" s="218"/>
      <c r="AK24" s="218"/>
      <c r="AL24" s="218"/>
      <c r="AM24" s="218"/>
      <c r="AN24" s="218"/>
      <c r="AO24" s="218"/>
      <c r="AP24" s="218"/>
      <c r="AQ24" s="218"/>
      <c r="AR24" s="218"/>
      <c r="AS24" s="213"/>
    </row>
    <row r="25" spans="1:45" ht="15.5">
      <c r="A25" s="207"/>
      <c r="B25" s="217"/>
      <c r="C25" s="217"/>
      <c r="D25" s="218"/>
      <c r="E25" s="218"/>
      <c r="F25" s="218"/>
      <c r="G25" s="218"/>
      <c r="H25" s="218"/>
      <c r="I25" s="218"/>
      <c r="J25" s="218"/>
      <c r="K25" s="218"/>
      <c r="L25" s="218"/>
      <c r="M25" s="218"/>
      <c r="N25" s="218"/>
      <c r="O25" s="218"/>
      <c r="P25" s="218"/>
      <c r="Q25" s="218"/>
      <c r="R25" s="218"/>
      <c r="S25" s="218"/>
      <c r="T25" s="218"/>
      <c r="U25" s="218"/>
      <c r="V25" s="218"/>
      <c r="W25" s="218"/>
      <c r="X25" s="218"/>
      <c r="Y25" s="218"/>
      <c r="Z25" s="218"/>
      <c r="AA25" s="218"/>
      <c r="AB25" s="218"/>
      <c r="AC25" s="218"/>
      <c r="AD25" s="218"/>
      <c r="AE25" s="218"/>
      <c r="AF25" s="218"/>
      <c r="AG25" s="218"/>
      <c r="AH25" s="218"/>
      <c r="AI25" s="218"/>
      <c r="AJ25" s="218"/>
      <c r="AK25" s="218"/>
      <c r="AL25" s="218"/>
      <c r="AM25" s="218"/>
      <c r="AN25" s="218"/>
      <c r="AO25" s="218"/>
      <c r="AP25" s="218"/>
      <c r="AQ25" s="218"/>
      <c r="AR25" s="218"/>
      <c r="AS25" s="213"/>
    </row>
    <row r="26" spans="1:45" ht="15.5">
      <c r="A26" s="207"/>
      <c r="B26" s="217"/>
      <c r="C26" s="217"/>
      <c r="D26" s="218"/>
      <c r="E26" s="218"/>
      <c r="F26" s="218"/>
      <c r="G26" s="218"/>
      <c r="H26" s="218"/>
      <c r="I26" s="218"/>
      <c r="J26" s="218"/>
      <c r="K26" s="218"/>
      <c r="L26" s="218"/>
      <c r="M26" s="218"/>
      <c r="N26" s="218"/>
      <c r="O26" s="218"/>
      <c r="P26" s="218"/>
      <c r="Q26" s="218"/>
      <c r="R26" s="218"/>
      <c r="S26" s="218"/>
      <c r="T26" s="218"/>
      <c r="U26" s="218"/>
      <c r="V26" s="218"/>
      <c r="W26" s="218"/>
      <c r="X26" s="218"/>
      <c r="Y26" s="218"/>
      <c r="Z26" s="218"/>
      <c r="AA26" s="218"/>
      <c r="AB26" s="218"/>
      <c r="AC26" s="218"/>
      <c r="AD26" s="218"/>
      <c r="AE26" s="218"/>
      <c r="AF26" s="218"/>
      <c r="AG26" s="218"/>
      <c r="AH26" s="218"/>
      <c r="AI26" s="218"/>
      <c r="AJ26" s="218"/>
      <c r="AK26" s="218"/>
      <c r="AL26" s="218"/>
      <c r="AM26" s="218"/>
      <c r="AN26" s="218"/>
      <c r="AO26" s="218"/>
      <c r="AP26" s="218"/>
      <c r="AQ26" s="218"/>
      <c r="AR26" s="218"/>
      <c r="AS26" s="213"/>
    </row>
    <row r="27" spans="1:45" ht="18.75" customHeight="1">
      <c r="A27" s="207"/>
      <c r="B27" s="217"/>
      <c r="C27" s="217"/>
      <c r="D27" s="600" t="s">
        <v>20</v>
      </c>
      <c r="E27" s="601"/>
      <c r="F27" s="601"/>
      <c r="G27" s="601"/>
      <c r="H27" s="601"/>
      <c r="I27" s="601"/>
      <c r="J27" s="601"/>
      <c r="K27" s="601"/>
      <c r="L27" s="601"/>
      <c r="M27" s="601"/>
      <c r="N27" s="601"/>
      <c r="O27" s="601"/>
      <c r="P27" s="601"/>
      <c r="Q27" s="601"/>
      <c r="R27" s="601"/>
      <c r="S27" s="601"/>
      <c r="T27" s="601"/>
      <c r="U27" s="601"/>
      <c r="V27" s="602"/>
      <c r="W27" s="218"/>
      <c r="X27" s="218"/>
      <c r="Y27" s="218"/>
      <c r="Z27" s="219"/>
      <c r="AA27" s="219"/>
      <c r="AB27" s="219"/>
      <c r="AC27" s="219"/>
      <c r="AD27" s="219"/>
      <c r="AE27" s="219"/>
      <c r="AF27" s="219"/>
      <c r="AG27" s="219"/>
      <c r="AH27" s="219"/>
      <c r="AI27" s="219"/>
      <c r="AJ27" s="219"/>
      <c r="AK27" s="219"/>
      <c r="AL27" s="219"/>
      <c r="AM27" s="219"/>
      <c r="AN27" s="219"/>
      <c r="AO27" s="219"/>
      <c r="AP27" s="219"/>
      <c r="AQ27" s="219"/>
      <c r="AR27" s="219"/>
      <c r="AS27" s="219"/>
    </row>
    <row r="28" spans="1:45" ht="26.25" customHeight="1">
      <c r="A28" s="207"/>
      <c r="B28" s="217"/>
      <c r="C28" s="217"/>
      <c r="D28" s="603" t="s">
        <v>21</v>
      </c>
      <c r="E28" s="603"/>
      <c r="F28" s="603"/>
      <c r="G28" s="603"/>
      <c r="H28" s="603"/>
      <c r="I28" s="603"/>
      <c r="J28" s="603"/>
      <c r="K28" s="603"/>
      <c r="L28" s="603"/>
      <c r="M28" s="604" t="s">
        <v>22</v>
      </c>
      <c r="N28" s="604"/>
      <c r="O28" s="605" t="s">
        <v>23</v>
      </c>
      <c r="P28" s="606"/>
      <c r="Q28" s="605" t="s">
        <v>24</v>
      </c>
      <c r="R28" s="606"/>
      <c r="S28" s="604" t="s">
        <v>23</v>
      </c>
      <c r="T28" s="604"/>
      <c r="U28" s="603" t="s">
        <v>25</v>
      </c>
      <c r="V28" s="603"/>
      <c r="W28" s="218"/>
      <c r="X28" s="580" t="s">
        <v>72</v>
      </c>
      <c r="Y28" s="580"/>
      <c r="Z28" s="580"/>
      <c r="AA28" s="219"/>
      <c r="AB28" s="219"/>
      <c r="AC28" s="219"/>
      <c r="AD28" s="219"/>
      <c r="AE28" s="219"/>
      <c r="AF28" s="219"/>
      <c r="AG28" s="219"/>
      <c r="AH28" s="219"/>
      <c r="AI28" s="219"/>
      <c r="AJ28" s="219"/>
      <c r="AK28" s="219"/>
      <c r="AL28" s="219"/>
      <c r="AM28" s="219"/>
      <c r="AN28" s="219"/>
      <c r="AO28" s="219"/>
      <c r="AP28" s="219"/>
      <c r="AQ28" s="219"/>
      <c r="AR28" s="219"/>
      <c r="AS28" s="219"/>
    </row>
    <row r="29" spans="1:45" ht="18.5">
      <c r="A29" s="207"/>
      <c r="B29" s="217"/>
      <c r="C29" s="217"/>
      <c r="D29" s="220" t="s">
        <v>17</v>
      </c>
      <c r="E29" s="571" t="s">
        <v>27</v>
      </c>
      <c r="F29" s="571"/>
      <c r="G29" s="571"/>
      <c r="H29" s="571"/>
      <c r="I29" s="571"/>
      <c r="J29" s="571"/>
      <c r="K29" s="571"/>
      <c r="L29" s="571"/>
      <c r="M29" s="578">
        <v>0.29166666666666702</v>
      </c>
      <c r="N29" s="579"/>
      <c r="O29" s="567">
        <v>0.5</v>
      </c>
      <c r="P29" s="568"/>
      <c r="Q29" s="567">
        <v>0.54166666666666696</v>
      </c>
      <c r="R29" s="568"/>
      <c r="S29" s="569">
        <v>0.66666666666666663</v>
      </c>
      <c r="T29" s="569"/>
      <c r="U29" s="597">
        <v>8</v>
      </c>
      <c r="V29" s="597"/>
      <c r="W29" s="218"/>
      <c r="X29" s="221">
        <f>+O29-M29</f>
        <v>0.20833333333333298</v>
      </c>
      <c r="Y29" s="221">
        <f>+S29-Q29</f>
        <v>0.12499999999999967</v>
      </c>
      <c r="Z29" s="222">
        <f>+Y29+X29</f>
        <v>0.33333333333333265</v>
      </c>
      <c r="AA29" s="180"/>
      <c r="AB29" s="180"/>
      <c r="AC29" s="180"/>
      <c r="AD29" s="180"/>
      <c r="AE29" s="180"/>
      <c r="AF29" s="180"/>
      <c r="AG29" s="180"/>
      <c r="AH29" s="180"/>
      <c r="AI29" s="180"/>
      <c r="AJ29" s="180"/>
      <c r="AK29" s="180"/>
      <c r="AL29" s="180"/>
      <c r="AM29" s="180"/>
      <c r="AN29" s="180"/>
      <c r="AO29" s="180"/>
      <c r="AP29" s="180"/>
      <c r="AQ29" s="180"/>
      <c r="AR29" s="180"/>
      <c r="AS29" s="180"/>
    </row>
    <row r="30" spans="1:45" ht="18.5">
      <c r="A30" s="207"/>
      <c r="B30" s="217"/>
      <c r="C30" s="217"/>
      <c r="D30" s="223" t="s">
        <v>13</v>
      </c>
      <c r="E30" s="571" t="s">
        <v>27</v>
      </c>
      <c r="F30" s="571"/>
      <c r="G30" s="571"/>
      <c r="H30" s="571"/>
      <c r="I30" s="571"/>
      <c r="J30" s="571"/>
      <c r="K30" s="571"/>
      <c r="L30" s="571"/>
      <c r="M30" s="578">
        <v>0.29166666666666702</v>
      </c>
      <c r="N30" s="579"/>
      <c r="O30" s="567">
        <v>0.5</v>
      </c>
      <c r="P30" s="568"/>
      <c r="Q30" s="567">
        <v>0.54166666666666696</v>
      </c>
      <c r="R30" s="568"/>
      <c r="S30" s="569">
        <v>0.625</v>
      </c>
      <c r="T30" s="569"/>
      <c r="U30" s="570">
        <v>7</v>
      </c>
      <c r="V30" s="570"/>
      <c r="W30" s="218"/>
      <c r="X30" s="221">
        <f>+O30-M30</f>
        <v>0.20833333333333298</v>
      </c>
      <c r="Y30" s="221">
        <f>+S30-Q30</f>
        <v>8.3333333333333037E-2</v>
      </c>
      <c r="Z30" s="222">
        <f>+Y30+X30</f>
        <v>0.29166666666666602</v>
      </c>
      <c r="AA30" s="180"/>
      <c r="AB30" s="180"/>
      <c r="AC30" s="180"/>
      <c r="AD30" s="180"/>
      <c r="AE30" s="180"/>
      <c r="AF30" s="180"/>
      <c r="AG30" s="180"/>
      <c r="AH30" s="180"/>
      <c r="AI30" s="180"/>
      <c r="AJ30" s="180"/>
      <c r="AK30" s="180"/>
      <c r="AL30" s="180"/>
      <c r="AM30" s="180"/>
      <c r="AN30" s="180"/>
      <c r="AO30" s="180"/>
      <c r="AP30" s="180"/>
      <c r="AQ30" s="180"/>
      <c r="AR30" s="180"/>
      <c r="AS30" s="180"/>
    </row>
    <row r="31" spans="1:45" ht="18.5">
      <c r="A31" s="207"/>
      <c r="B31" s="217"/>
      <c r="C31" s="217"/>
      <c r="D31" s="223" t="s">
        <v>33</v>
      </c>
      <c r="E31" s="563" t="s">
        <v>26</v>
      </c>
      <c r="F31" s="564"/>
      <c r="G31" s="564"/>
      <c r="H31" s="564"/>
      <c r="I31" s="564"/>
      <c r="J31" s="564"/>
      <c r="K31" s="564"/>
      <c r="L31" s="565"/>
      <c r="M31" s="578">
        <v>0.33333333333333331</v>
      </c>
      <c r="N31" s="579"/>
      <c r="O31" s="567">
        <v>0.5</v>
      </c>
      <c r="P31" s="568"/>
      <c r="Q31" s="567">
        <v>0.54166666666666696</v>
      </c>
      <c r="R31" s="568">
        <v>0.54166666666666696</v>
      </c>
      <c r="S31" s="569">
        <v>0.66666666666666696</v>
      </c>
      <c r="T31" s="569"/>
      <c r="U31" s="570">
        <v>7</v>
      </c>
      <c r="V31" s="570"/>
      <c r="W31" s="218"/>
      <c r="X31" s="221">
        <f t="shared" ref="X31:X33" si="2">+O31-M31</f>
        <v>0.16666666666666669</v>
      </c>
      <c r="Y31" s="221">
        <f t="shared" ref="Y31:Y33" si="3">+S31-Q31</f>
        <v>0.125</v>
      </c>
      <c r="Z31" s="222">
        <f t="shared" ref="Z31:Z33" si="4">+Y31+X31</f>
        <v>0.29166666666666669</v>
      </c>
      <c r="AA31" s="180"/>
      <c r="AB31" s="180"/>
      <c r="AC31" s="180"/>
      <c r="AD31" s="180"/>
      <c r="AE31" s="180"/>
      <c r="AF31" s="180"/>
      <c r="AG31" s="180"/>
      <c r="AH31" s="180"/>
      <c r="AI31" s="180"/>
      <c r="AJ31" s="180"/>
      <c r="AK31" s="180"/>
      <c r="AL31" s="180"/>
      <c r="AM31" s="180"/>
      <c r="AN31" s="180"/>
      <c r="AO31" s="180"/>
      <c r="AP31" s="180"/>
      <c r="AQ31" s="180"/>
      <c r="AR31" s="180"/>
      <c r="AS31" s="180"/>
    </row>
    <row r="32" spans="1:45" ht="18.5">
      <c r="A32" s="207"/>
      <c r="B32" s="217"/>
      <c r="C32" s="217"/>
      <c r="D32" s="220" t="s">
        <v>73</v>
      </c>
      <c r="E32" s="571" t="s">
        <v>27</v>
      </c>
      <c r="F32" s="571"/>
      <c r="G32" s="571"/>
      <c r="H32" s="571"/>
      <c r="I32" s="571"/>
      <c r="J32" s="571"/>
      <c r="K32" s="571"/>
      <c r="L32" s="571"/>
      <c r="M32" s="578">
        <v>0.29166666666666669</v>
      </c>
      <c r="N32" s="579"/>
      <c r="O32" s="567">
        <v>0.5</v>
      </c>
      <c r="P32" s="568"/>
      <c r="Q32" s="567">
        <v>0.54166666666666696</v>
      </c>
      <c r="R32" s="568"/>
      <c r="S32" s="569">
        <v>0.58333333333333337</v>
      </c>
      <c r="T32" s="569"/>
      <c r="U32" s="597">
        <v>6</v>
      </c>
      <c r="V32" s="597"/>
      <c r="W32" s="218"/>
      <c r="X32" s="221">
        <f t="shared" ref="X32" si="5">+O32-M32</f>
        <v>0.20833333333333331</v>
      </c>
      <c r="Y32" s="221">
        <f t="shared" ref="Y32" si="6">+S32-Q32</f>
        <v>4.1666666666666408E-2</v>
      </c>
      <c r="Z32" s="222">
        <f t="shared" ref="Z32" si="7">+Y32+X32</f>
        <v>0.24999999999999972</v>
      </c>
      <c r="AA32" s="180"/>
      <c r="AB32" s="180"/>
      <c r="AC32" s="180"/>
      <c r="AD32" s="180"/>
      <c r="AE32" s="180"/>
      <c r="AF32" s="180"/>
      <c r="AG32" s="180"/>
      <c r="AH32" s="180"/>
      <c r="AI32" s="180"/>
      <c r="AJ32" s="180"/>
      <c r="AK32" s="180"/>
      <c r="AL32" s="180"/>
      <c r="AM32" s="180"/>
      <c r="AN32" s="180"/>
      <c r="AO32" s="180"/>
      <c r="AP32" s="180"/>
      <c r="AQ32" s="180"/>
      <c r="AR32" s="180"/>
      <c r="AS32" s="180"/>
    </row>
    <row r="33" spans="1:45" ht="18.5">
      <c r="A33" s="207"/>
      <c r="B33" s="217"/>
      <c r="C33" s="217"/>
      <c r="D33" s="223" t="s">
        <v>32</v>
      </c>
      <c r="E33" s="563" t="s">
        <v>81</v>
      </c>
      <c r="F33" s="564"/>
      <c r="G33" s="564"/>
      <c r="H33" s="564"/>
      <c r="I33" s="564"/>
      <c r="J33" s="564"/>
      <c r="K33" s="564"/>
      <c r="L33" s="565"/>
      <c r="M33" s="566">
        <v>0.29166666666666702</v>
      </c>
      <c r="N33" s="566"/>
      <c r="O33" s="566">
        <v>0.79166666666666696</v>
      </c>
      <c r="P33" s="566"/>
      <c r="Q33" s="567"/>
      <c r="R33" s="568"/>
      <c r="S33" s="569"/>
      <c r="T33" s="569"/>
      <c r="U33" s="570">
        <v>12</v>
      </c>
      <c r="V33" s="570"/>
      <c r="W33" s="218"/>
      <c r="X33" s="221">
        <f t="shared" si="2"/>
        <v>0.49999999999999994</v>
      </c>
      <c r="Y33" s="221">
        <f t="shared" si="3"/>
        <v>0</v>
      </c>
      <c r="Z33" s="222">
        <f t="shared" si="4"/>
        <v>0.49999999999999994</v>
      </c>
      <c r="AA33" s="180"/>
      <c r="AB33" s="180"/>
      <c r="AC33" s="180"/>
      <c r="AD33" s="180"/>
      <c r="AE33" s="180"/>
      <c r="AF33" s="180"/>
      <c r="AG33" s="180"/>
      <c r="AH33" s="180"/>
      <c r="AI33" s="180"/>
      <c r="AJ33" s="180"/>
      <c r="AK33" s="180"/>
      <c r="AL33" s="180"/>
      <c r="AM33" s="180"/>
      <c r="AN33" s="180"/>
      <c r="AO33" s="180"/>
      <c r="AP33" s="180"/>
      <c r="AQ33" s="180"/>
      <c r="AR33" s="180"/>
      <c r="AS33" s="180"/>
    </row>
    <row r="34" spans="1:45" ht="18.5">
      <c r="A34" s="207"/>
      <c r="B34" s="217"/>
      <c r="C34" s="217"/>
      <c r="D34" s="220" t="s">
        <v>8</v>
      </c>
      <c r="E34" s="571"/>
      <c r="F34" s="571"/>
      <c r="G34" s="571"/>
      <c r="H34" s="571"/>
      <c r="I34" s="571"/>
      <c r="J34" s="571"/>
      <c r="K34" s="571"/>
      <c r="L34" s="571"/>
      <c r="M34" s="571"/>
      <c r="N34" s="571"/>
      <c r="O34" s="571"/>
      <c r="P34" s="571"/>
      <c r="Q34" s="571"/>
      <c r="R34" s="571"/>
      <c r="S34" s="571"/>
      <c r="T34" s="571"/>
      <c r="U34" s="572">
        <v>0</v>
      </c>
      <c r="V34" s="572"/>
      <c r="W34" s="218"/>
      <c r="X34" s="221">
        <f>+O34-M34</f>
        <v>0</v>
      </c>
      <c r="Y34" s="221">
        <f>+S34-Q34</f>
        <v>0</v>
      </c>
      <c r="Z34" s="222">
        <f>+Y34+X34</f>
        <v>0</v>
      </c>
      <c r="AA34" s="180"/>
      <c r="AB34" s="180"/>
      <c r="AC34" s="180"/>
      <c r="AD34" s="180"/>
      <c r="AE34" s="180"/>
      <c r="AF34" s="180"/>
      <c r="AG34" s="180"/>
      <c r="AH34" s="180"/>
      <c r="AI34" s="180"/>
      <c r="AJ34" s="180"/>
      <c r="AK34" s="180"/>
      <c r="AL34" s="180"/>
      <c r="AM34" s="180"/>
      <c r="AN34" s="180"/>
      <c r="AO34" s="180"/>
      <c r="AP34" s="180"/>
      <c r="AQ34" s="180"/>
      <c r="AR34" s="180"/>
      <c r="AS34" s="180"/>
    </row>
    <row r="35" spans="1:45" ht="18.5">
      <c r="A35" s="207"/>
      <c r="B35" s="217"/>
      <c r="C35" s="217"/>
      <c r="D35" s="224" t="s">
        <v>15</v>
      </c>
      <c r="E35" s="573" t="s">
        <v>29</v>
      </c>
      <c r="F35" s="574"/>
      <c r="G35" s="574"/>
      <c r="H35" s="574"/>
      <c r="I35" s="574"/>
      <c r="J35" s="574"/>
      <c r="K35" s="574"/>
      <c r="L35" s="574"/>
      <c r="M35" s="574"/>
      <c r="N35" s="574"/>
      <c r="O35" s="574"/>
      <c r="P35" s="574"/>
      <c r="Q35" s="574"/>
      <c r="R35" s="574"/>
      <c r="S35" s="574"/>
      <c r="T35" s="575"/>
      <c r="U35" s="576">
        <v>3</v>
      </c>
      <c r="V35" s="576"/>
      <c r="W35" s="218"/>
      <c r="X35" s="221">
        <f>+O35-M35</f>
        <v>0</v>
      </c>
      <c r="Y35" s="221">
        <f>+S35-Q35</f>
        <v>0</v>
      </c>
      <c r="Z35" s="222">
        <f>+Y35+X35</f>
        <v>0</v>
      </c>
      <c r="AA35" s="180"/>
      <c r="AB35" s="180"/>
      <c r="AC35" s="180"/>
      <c r="AD35" s="180"/>
      <c r="AE35" s="180"/>
      <c r="AF35" s="180"/>
      <c r="AG35" s="180"/>
      <c r="AH35" s="180"/>
      <c r="AI35" s="180"/>
      <c r="AJ35" s="180"/>
      <c r="AK35" s="180"/>
      <c r="AL35" s="180"/>
      <c r="AM35" s="180"/>
      <c r="AN35" s="180"/>
      <c r="AO35" s="180"/>
      <c r="AP35" s="180"/>
      <c r="AQ35" s="180"/>
      <c r="AR35" s="180"/>
      <c r="AS35" s="180"/>
    </row>
    <row r="36" spans="1:45" ht="15.5">
      <c r="A36" s="207"/>
      <c r="B36" s="217"/>
      <c r="C36" s="217"/>
      <c r="D36" s="225"/>
      <c r="E36" s="226"/>
      <c r="F36" s="226"/>
      <c r="G36" s="226"/>
      <c r="H36" s="226"/>
      <c r="I36" s="226"/>
      <c r="J36" s="226"/>
      <c r="K36" s="226"/>
      <c r="L36" s="226"/>
      <c r="M36" s="226"/>
      <c r="N36" s="226"/>
      <c r="O36" s="226"/>
      <c r="P36" s="226"/>
      <c r="Q36" s="226"/>
      <c r="R36" s="226"/>
      <c r="S36" s="226"/>
      <c r="T36" s="226"/>
      <c r="U36" s="227"/>
      <c r="V36" s="227"/>
      <c r="W36" s="228"/>
      <c r="X36" s="228"/>
      <c r="Y36" s="228"/>
      <c r="Z36" s="228"/>
      <c r="AA36" s="228"/>
      <c r="AB36" s="228"/>
      <c r="AC36" s="228"/>
      <c r="AD36" s="228"/>
      <c r="AE36" s="228"/>
      <c r="AF36" s="228"/>
      <c r="AG36" s="228"/>
      <c r="AH36" s="228"/>
      <c r="AI36" s="228"/>
      <c r="AJ36" s="228"/>
      <c r="AK36" s="228"/>
      <c r="AL36" s="228"/>
      <c r="AM36" s="228"/>
      <c r="AN36" s="228"/>
      <c r="AO36" s="228"/>
      <c r="AP36" s="228"/>
      <c r="AQ36" s="228"/>
      <c r="AR36" s="228"/>
      <c r="AS36" s="207"/>
    </row>
    <row r="37" spans="1:45" ht="15.5">
      <c r="A37" s="207"/>
      <c r="B37" s="217"/>
      <c r="C37" s="217"/>
      <c r="D37" s="225"/>
      <c r="E37" s="226"/>
      <c r="F37" s="226"/>
      <c r="G37" s="226"/>
      <c r="H37" s="226"/>
      <c r="I37" s="226"/>
      <c r="J37" s="226"/>
      <c r="K37" s="226"/>
      <c r="L37" s="226"/>
      <c r="M37" s="226"/>
      <c r="N37" s="226"/>
      <c r="O37" s="226"/>
      <c r="P37" s="226"/>
      <c r="Q37" s="226"/>
      <c r="R37" s="226"/>
      <c r="S37" s="226"/>
      <c r="T37" s="226"/>
      <c r="U37" s="227"/>
      <c r="V37" s="227"/>
      <c r="W37" s="228"/>
      <c r="X37" s="228"/>
      <c r="Y37" s="228"/>
      <c r="Z37" s="228"/>
      <c r="AA37" s="228"/>
      <c r="AB37" s="228"/>
      <c r="AC37" s="228"/>
      <c r="AD37" s="228"/>
      <c r="AE37" s="228"/>
      <c r="AF37" s="228"/>
      <c r="AG37" s="228"/>
      <c r="AH37" s="228"/>
      <c r="AI37" s="228"/>
      <c r="AJ37" s="228"/>
      <c r="AK37" s="228"/>
      <c r="AL37" s="228"/>
      <c r="AM37" s="228"/>
      <c r="AN37" s="228"/>
      <c r="AO37" s="228"/>
      <c r="AP37" s="228"/>
      <c r="AQ37" s="228"/>
      <c r="AR37" s="228"/>
      <c r="AS37" s="207"/>
    </row>
    <row r="38" spans="1:45" ht="15.5">
      <c r="A38" s="207"/>
      <c r="B38" s="217"/>
      <c r="C38" s="217"/>
      <c r="D38" s="225"/>
      <c r="E38" s="226"/>
      <c r="F38" s="226"/>
      <c r="G38" s="226"/>
      <c r="H38" s="226"/>
      <c r="I38" s="226"/>
      <c r="J38" s="226"/>
      <c r="K38" s="226"/>
      <c r="L38" s="226"/>
      <c r="M38" s="226"/>
      <c r="N38" s="226"/>
      <c r="O38" s="226"/>
      <c r="P38" s="226"/>
      <c r="Q38" s="226"/>
      <c r="R38" s="226"/>
      <c r="S38" s="226"/>
      <c r="T38" s="226"/>
      <c r="U38" s="227"/>
      <c r="V38" s="227"/>
      <c r="W38" s="228"/>
      <c r="X38" s="228"/>
      <c r="Y38" s="228"/>
      <c r="Z38" s="228"/>
      <c r="AA38" s="228"/>
      <c r="AB38" s="228"/>
      <c r="AC38" s="228"/>
      <c r="AD38" s="228"/>
      <c r="AE38" s="228"/>
      <c r="AF38" s="228"/>
      <c r="AG38" s="228"/>
      <c r="AH38" s="228"/>
      <c r="AI38" s="228"/>
      <c r="AJ38" s="228"/>
      <c r="AK38" s="228"/>
      <c r="AL38" s="228"/>
      <c r="AM38" s="228"/>
      <c r="AN38" s="228"/>
      <c r="AO38" s="228"/>
      <c r="AP38" s="228"/>
      <c r="AQ38" s="228"/>
      <c r="AR38" s="228"/>
      <c r="AS38" s="207"/>
    </row>
    <row r="39" spans="1:45" ht="15.5">
      <c r="A39" s="207"/>
      <c r="B39" s="217"/>
      <c r="C39" s="217"/>
      <c r="D39" s="225"/>
      <c r="E39" s="226"/>
      <c r="F39" s="226"/>
      <c r="G39" s="226"/>
      <c r="H39" s="226"/>
      <c r="I39" s="226"/>
      <c r="J39" s="226"/>
      <c r="K39" s="226"/>
      <c r="L39" s="226"/>
      <c r="M39" s="226"/>
      <c r="N39" s="226"/>
      <c r="O39" s="226"/>
      <c r="P39" s="226"/>
      <c r="Q39" s="226"/>
      <c r="R39" s="226"/>
      <c r="S39" s="226"/>
      <c r="T39" s="226"/>
      <c r="U39" s="227"/>
      <c r="V39" s="227"/>
      <c r="W39" s="228"/>
      <c r="X39" s="228"/>
      <c r="Y39" s="228"/>
      <c r="Z39" s="228"/>
      <c r="AA39" s="228"/>
      <c r="AB39" s="228"/>
      <c r="AC39" s="228"/>
      <c r="AD39" s="228"/>
      <c r="AE39" s="228"/>
      <c r="AF39" s="228"/>
      <c r="AG39" s="228"/>
      <c r="AH39" s="228"/>
      <c r="AI39" s="228"/>
      <c r="AJ39" s="228"/>
      <c r="AK39" s="228"/>
      <c r="AL39" s="228"/>
      <c r="AM39" s="228"/>
      <c r="AN39" s="228"/>
      <c r="AO39" s="228"/>
      <c r="AP39" s="228"/>
      <c r="AQ39" s="228"/>
      <c r="AR39" s="228"/>
      <c r="AS39" s="207"/>
    </row>
    <row r="40" spans="1:45" ht="15.5">
      <c r="A40" s="207"/>
      <c r="B40" s="217"/>
      <c r="C40" s="217"/>
      <c r="D40" s="225"/>
      <c r="E40" s="226"/>
      <c r="F40" s="226"/>
      <c r="G40" s="226"/>
      <c r="H40" s="226"/>
      <c r="I40" s="226"/>
      <c r="J40" s="226"/>
      <c r="K40" s="226"/>
      <c r="L40" s="226"/>
      <c r="M40" s="226"/>
      <c r="N40" s="226"/>
      <c r="O40" s="226"/>
      <c r="P40" s="226"/>
      <c r="Q40" s="226"/>
      <c r="R40" s="226"/>
      <c r="S40" s="226"/>
      <c r="T40" s="226"/>
      <c r="U40" s="227"/>
      <c r="V40" s="227"/>
      <c r="W40" s="228"/>
      <c r="X40" s="228"/>
      <c r="Y40" s="228"/>
      <c r="Z40" s="228"/>
      <c r="AA40" s="228"/>
      <c r="AB40" s="228"/>
      <c r="AC40" s="228"/>
      <c r="AD40" s="228"/>
      <c r="AE40" s="228"/>
      <c r="AF40" s="228"/>
      <c r="AG40" s="228"/>
      <c r="AH40" s="228"/>
      <c r="AI40" s="228"/>
      <c r="AJ40" s="228"/>
      <c r="AK40" s="228"/>
      <c r="AL40" s="228"/>
      <c r="AM40" s="228"/>
      <c r="AN40" s="228"/>
      <c r="AO40" s="228"/>
      <c r="AP40" s="228"/>
      <c r="AQ40" s="228"/>
      <c r="AR40" s="228"/>
      <c r="AS40" s="207"/>
    </row>
    <row r="41" spans="1:45" ht="15.5">
      <c r="A41" s="207"/>
      <c r="B41" s="217"/>
      <c r="C41" s="217"/>
      <c r="D41" s="225"/>
      <c r="E41" s="226"/>
      <c r="F41" s="226"/>
      <c r="G41" s="226"/>
      <c r="H41" s="226"/>
      <c r="I41" s="226"/>
      <c r="J41" s="226"/>
      <c r="K41" s="226"/>
      <c r="L41" s="226"/>
      <c r="M41" s="226"/>
      <c r="N41" s="226"/>
      <c r="O41" s="226"/>
      <c r="P41" s="226"/>
      <c r="Q41" s="226"/>
      <c r="R41" s="226"/>
      <c r="S41" s="226"/>
      <c r="T41" s="226"/>
      <c r="U41" s="227"/>
      <c r="V41" s="227"/>
      <c r="W41" s="228"/>
      <c r="X41" s="228"/>
      <c r="Y41" s="228"/>
      <c r="Z41" s="228"/>
      <c r="AA41" s="228"/>
      <c r="AB41" s="228"/>
      <c r="AC41" s="228"/>
      <c r="AD41" s="228"/>
      <c r="AE41" s="228"/>
      <c r="AF41" s="228"/>
      <c r="AG41" s="228"/>
      <c r="AH41" s="228"/>
      <c r="AI41" s="228"/>
      <c r="AJ41" s="228"/>
      <c r="AK41" s="228"/>
      <c r="AL41" s="228"/>
      <c r="AM41" s="228"/>
      <c r="AN41" s="228"/>
      <c r="AO41" s="228"/>
      <c r="AP41" s="228"/>
      <c r="AQ41" s="228"/>
      <c r="AR41" s="228"/>
      <c r="AS41" s="207"/>
    </row>
    <row r="42" spans="1:45" ht="15.5">
      <c r="A42" s="207"/>
      <c r="B42" s="217"/>
      <c r="C42" s="217"/>
      <c r="D42" s="225"/>
      <c r="E42" s="226"/>
      <c r="F42" s="226"/>
      <c r="G42" s="226"/>
      <c r="H42" s="226"/>
      <c r="I42" s="226"/>
      <c r="J42" s="226"/>
      <c r="K42" s="226"/>
      <c r="L42" s="226"/>
      <c r="M42" s="226"/>
      <c r="N42" s="226"/>
      <c r="O42" s="226"/>
      <c r="P42" s="226"/>
      <c r="Q42" s="226"/>
      <c r="R42" s="226"/>
      <c r="S42" s="226"/>
      <c r="T42" s="226"/>
      <c r="U42" s="227"/>
      <c r="V42" s="227"/>
      <c r="W42" s="228"/>
      <c r="X42" s="228"/>
      <c r="Y42" s="228"/>
      <c r="Z42" s="228"/>
      <c r="AA42" s="228"/>
      <c r="AB42" s="228"/>
      <c r="AC42" s="228"/>
      <c r="AD42" s="228"/>
      <c r="AE42" s="228"/>
      <c r="AF42" s="228"/>
      <c r="AG42" s="228"/>
      <c r="AH42" s="228"/>
      <c r="AI42" s="228"/>
      <c r="AJ42" s="228"/>
      <c r="AK42" s="228"/>
      <c r="AL42" s="228"/>
      <c r="AM42" s="228"/>
      <c r="AN42" s="228"/>
      <c r="AO42" s="228"/>
      <c r="AP42" s="228"/>
      <c r="AQ42" s="228"/>
      <c r="AR42" s="228"/>
      <c r="AS42" s="207"/>
    </row>
    <row r="43" spans="1:45" ht="15.5">
      <c r="A43" s="207"/>
      <c r="B43" s="217"/>
      <c r="C43" s="217"/>
      <c r="D43" s="225"/>
      <c r="E43" s="226"/>
      <c r="F43" s="226"/>
      <c r="G43" s="226"/>
      <c r="H43" s="226"/>
      <c r="I43" s="226"/>
      <c r="J43" s="226"/>
      <c r="K43" s="226"/>
      <c r="L43" s="226"/>
      <c r="M43" s="226"/>
      <c r="N43" s="226"/>
      <c r="O43" s="226"/>
      <c r="P43" s="226"/>
      <c r="Q43" s="226"/>
      <c r="R43" s="226"/>
      <c r="S43" s="226"/>
      <c r="T43" s="226"/>
      <c r="U43" s="227"/>
      <c r="V43" s="227"/>
      <c r="W43" s="228"/>
      <c r="X43" s="228"/>
      <c r="Y43" s="228"/>
      <c r="Z43" s="228"/>
      <c r="AA43" s="228"/>
      <c r="AB43" s="228"/>
      <c r="AC43" s="228"/>
      <c r="AD43" s="228"/>
      <c r="AE43" s="228"/>
      <c r="AF43" s="228"/>
      <c r="AG43" s="228"/>
      <c r="AH43" s="228"/>
      <c r="AI43" s="228"/>
      <c r="AJ43" s="228"/>
      <c r="AK43" s="228"/>
      <c r="AL43" s="228"/>
      <c r="AM43" s="228"/>
      <c r="AN43" s="228"/>
      <c r="AO43" s="228"/>
      <c r="AP43" s="228"/>
      <c r="AQ43" s="228"/>
      <c r="AR43" s="228"/>
      <c r="AS43" s="207"/>
    </row>
    <row r="44" spans="1:45" ht="15.5">
      <c r="A44" s="177"/>
      <c r="B44" s="177"/>
      <c r="C44" s="177"/>
      <c r="D44" s="207"/>
      <c r="E44" s="229"/>
      <c r="F44" s="229"/>
      <c r="G44" s="229"/>
      <c r="H44" s="229"/>
      <c r="I44" s="229"/>
      <c r="J44" s="229"/>
      <c r="K44" s="229"/>
      <c r="L44" s="229"/>
      <c r="M44" s="177"/>
      <c r="N44" s="177"/>
      <c r="O44" s="177"/>
      <c r="P44" s="177"/>
      <c r="Q44" s="177"/>
      <c r="R44" s="177"/>
      <c r="S44" s="177"/>
      <c r="T44" s="177"/>
      <c r="U44" s="229"/>
      <c r="V44" s="182"/>
      <c r="W44" s="177"/>
      <c r="X44" s="177"/>
      <c r="Y44" s="177"/>
      <c r="Z44" s="230"/>
      <c r="AA44" s="230"/>
      <c r="AB44" s="230"/>
      <c r="AC44" s="230"/>
      <c r="AD44" s="230"/>
      <c r="AE44" s="230"/>
      <c r="AF44" s="230"/>
      <c r="AG44" s="230"/>
      <c r="AH44" s="230"/>
      <c r="AI44" s="230"/>
      <c r="AJ44" s="230"/>
      <c r="AK44" s="230"/>
      <c r="AL44" s="230"/>
      <c r="AM44" s="230"/>
      <c r="AN44" s="230"/>
      <c r="AO44" s="230"/>
      <c r="AP44" s="177"/>
      <c r="AQ44" s="177"/>
      <c r="AR44" s="177"/>
      <c r="AS44" s="177"/>
    </row>
    <row r="45" spans="1:45" ht="15.5">
      <c r="A45" s="231"/>
      <c r="B45" s="232"/>
      <c r="C45" s="233"/>
      <c r="D45" s="231"/>
      <c r="E45" s="231"/>
      <c r="F45" s="231"/>
      <c r="G45" s="231"/>
      <c r="H45" s="231"/>
      <c r="I45" s="231"/>
      <c r="J45" s="231"/>
      <c r="K45" s="229"/>
      <c r="L45" s="231"/>
      <c r="M45" s="234"/>
      <c r="N45" s="234"/>
      <c r="O45" s="234"/>
      <c r="P45" s="234"/>
      <c r="Q45" s="234"/>
      <c r="R45" s="234"/>
      <c r="S45" s="234"/>
      <c r="T45" s="234"/>
      <c r="U45" s="231"/>
      <c r="V45" s="231"/>
      <c r="W45" s="231"/>
      <c r="X45" s="231"/>
      <c r="Y45" s="235"/>
      <c r="Z45" s="236"/>
      <c r="AA45" s="236"/>
      <c r="AB45" s="236"/>
      <c r="AC45" s="236"/>
      <c r="AD45" s="236"/>
      <c r="AE45" s="236"/>
      <c r="AF45" s="236"/>
      <c r="AG45" s="236"/>
      <c r="AH45" s="236"/>
      <c r="AI45" s="236"/>
      <c r="AJ45" s="236"/>
      <c r="AK45" s="236"/>
      <c r="AL45" s="236"/>
      <c r="AM45" s="236"/>
      <c r="AN45" s="236"/>
      <c r="AO45" s="236"/>
      <c r="AP45" s="231"/>
      <c r="AQ45" s="231"/>
      <c r="AR45" s="231"/>
      <c r="AS45" s="231"/>
    </row>
    <row r="46" spans="1:45" ht="18.5">
      <c r="A46" s="237"/>
      <c r="B46" s="238" t="s">
        <v>30</v>
      </c>
      <c r="C46" s="238"/>
      <c r="D46" s="237"/>
      <c r="E46" s="237"/>
      <c r="F46" s="237"/>
      <c r="G46" s="237"/>
      <c r="H46" s="237"/>
      <c r="I46" s="239"/>
      <c r="J46" s="239"/>
      <c r="K46" s="239"/>
      <c r="L46" s="239"/>
      <c r="M46" s="240" t="s">
        <v>82</v>
      </c>
      <c r="N46" s="239"/>
      <c r="O46" s="239"/>
      <c r="P46" s="239"/>
      <c r="Q46" s="239"/>
      <c r="R46" s="239"/>
      <c r="S46" s="239"/>
      <c r="T46" s="231"/>
      <c r="U46" s="231"/>
      <c r="V46" s="231"/>
      <c r="W46" s="239"/>
      <c r="X46" s="239"/>
      <c r="Y46" s="235"/>
      <c r="Z46" s="577" t="s">
        <v>101</v>
      </c>
      <c r="AA46" s="577"/>
      <c r="AB46" s="577"/>
      <c r="AC46" s="577"/>
      <c r="AD46" s="577"/>
      <c r="AE46" s="577"/>
      <c r="AF46" s="577"/>
      <c r="AG46" s="577"/>
      <c r="AH46" s="577"/>
      <c r="AI46" s="577"/>
      <c r="AJ46" s="577"/>
      <c r="AK46" s="577"/>
      <c r="AL46" s="577"/>
      <c r="AM46" s="577"/>
      <c r="AN46" s="577"/>
      <c r="AO46" s="577"/>
      <c r="AR46" s="239"/>
      <c r="AS46" s="237"/>
    </row>
    <row r="47" spans="1:45" ht="18.5">
      <c r="A47" s="231"/>
      <c r="B47" s="241" t="s">
        <v>31</v>
      </c>
      <c r="C47" s="241"/>
      <c r="D47" s="231"/>
      <c r="E47" s="231"/>
      <c r="F47" s="231"/>
      <c r="G47" s="231"/>
      <c r="H47" s="231"/>
      <c r="I47" s="231"/>
      <c r="J47" s="231"/>
      <c r="K47" s="231"/>
      <c r="L47" s="231"/>
      <c r="M47" s="241" t="s">
        <v>31</v>
      </c>
      <c r="N47" s="231"/>
      <c r="O47" s="231"/>
      <c r="P47" s="231"/>
      <c r="Q47" s="231"/>
      <c r="R47" s="239"/>
      <c r="S47" s="239"/>
      <c r="T47" s="231"/>
      <c r="U47" s="231"/>
      <c r="V47" s="231"/>
      <c r="W47" s="231"/>
      <c r="X47" s="231"/>
      <c r="Y47" s="242"/>
      <c r="Z47" s="562" t="s">
        <v>99</v>
      </c>
      <c r="AA47" s="562"/>
      <c r="AB47" s="562"/>
      <c r="AC47" s="562"/>
      <c r="AD47" s="562"/>
      <c r="AE47" s="562"/>
      <c r="AF47" s="562"/>
      <c r="AG47" s="562"/>
      <c r="AH47" s="562"/>
      <c r="AI47" s="562"/>
      <c r="AJ47" s="562"/>
      <c r="AK47" s="562"/>
      <c r="AL47" s="562"/>
      <c r="AM47" s="562"/>
      <c r="AN47" s="562"/>
      <c r="AO47" s="562"/>
      <c r="AR47" s="231"/>
      <c r="AS47" s="231"/>
    </row>
    <row r="48" spans="1:45">
      <c r="E48" s="172"/>
      <c r="F48" s="172"/>
      <c r="G48" s="172"/>
      <c r="H48" s="172"/>
      <c r="I48" s="172"/>
      <c r="S48" s="172"/>
      <c r="T48" s="172"/>
      <c r="U48" s="172"/>
    </row>
  </sheetData>
  <mergeCells count="58">
    <mergeCell ref="C11:AN11"/>
    <mergeCell ref="E32:L32"/>
    <mergeCell ref="M32:N32"/>
    <mergeCell ref="O32:P32"/>
    <mergeCell ref="Q32:R32"/>
    <mergeCell ref="S32:T32"/>
    <mergeCell ref="U32:V32"/>
    <mergeCell ref="U29:V29"/>
    <mergeCell ref="B23:AR23"/>
    <mergeCell ref="D27:V27"/>
    <mergeCell ref="D28:L28"/>
    <mergeCell ref="M28:N28"/>
    <mergeCell ref="O28:P28"/>
    <mergeCell ref="Q28:R28"/>
    <mergeCell ref="S28:T28"/>
    <mergeCell ref="U28:V28"/>
    <mergeCell ref="B2:B5"/>
    <mergeCell ref="D2:AN5"/>
    <mergeCell ref="AQ3:AR3"/>
    <mergeCell ref="AQ4:AR4"/>
    <mergeCell ref="AQ5:AR5"/>
    <mergeCell ref="B12:B13"/>
    <mergeCell ref="AN12:AN13"/>
    <mergeCell ref="AO12:AO13"/>
    <mergeCell ref="C17:AN17"/>
    <mergeCell ref="B18:B19"/>
    <mergeCell ref="AN18:AN19"/>
    <mergeCell ref="AO18:AO19"/>
    <mergeCell ref="X28:Z28"/>
    <mergeCell ref="E29:L29"/>
    <mergeCell ref="M29:N29"/>
    <mergeCell ref="O29:P29"/>
    <mergeCell ref="Q29:R29"/>
    <mergeCell ref="S29:T29"/>
    <mergeCell ref="U31:V31"/>
    <mergeCell ref="E30:L30"/>
    <mergeCell ref="M30:N30"/>
    <mergeCell ref="O30:P30"/>
    <mergeCell ref="Q30:R30"/>
    <mergeCell ref="S30:T30"/>
    <mergeCell ref="U30:V30"/>
    <mergeCell ref="E31:L31"/>
    <mergeCell ref="M31:N31"/>
    <mergeCell ref="O31:P31"/>
    <mergeCell ref="Q31:R31"/>
    <mergeCell ref="S31:T31"/>
    <mergeCell ref="Z47:AO47"/>
    <mergeCell ref="E33:L33"/>
    <mergeCell ref="M33:N33"/>
    <mergeCell ref="O33:P33"/>
    <mergeCell ref="Q33:R33"/>
    <mergeCell ref="S33:T33"/>
    <mergeCell ref="U33:V33"/>
    <mergeCell ref="E34:T34"/>
    <mergeCell ref="U34:V34"/>
    <mergeCell ref="E35:T35"/>
    <mergeCell ref="U35:V35"/>
    <mergeCell ref="Z46:AO46"/>
  </mergeCells>
  <conditionalFormatting sqref="C14:D14">
    <cfRule type="containsText" dxfId="31" priority="2" operator="containsText" text="L">
      <formula>NOT(ISERROR(SEARCH("L",C14)))</formula>
    </cfRule>
  </conditionalFormatting>
  <conditionalFormatting sqref="F14:Q14">
    <cfRule type="containsText" dxfId="30" priority="11" operator="containsText" text="L">
      <formula>NOT(ISERROR(SEARCH("L",F14)))</formula>
    </cfRule>
  </conditionalFormatting>
  <conditionalFormatting sqref="S14:Y14">
    <cfRule type="containsText" dxfId="29" priority="14" operator="containsText" text="L">
      <formula>NOT(ISERROR(SEARCH("L",S14)))</formula>
    </cfRule>
  </conditionalFormatting>
  <conditionalFormatting sqref="U13">
    <cfRule type="containsText" dxfId="28" priority="10" operator="containsText" text="L">
      <formula>NOT(ISERROR(SEARCH("L",U13)))</formula>
    </cfRule>
  </conditionalFormatting>
  <conditionalFormatting sqref="U19">
    <cfRule type="containsText" dxfId="27" priority="6" operator="containsText" text="L">
      <formula>NOT(ISERROR(SEARCH("L",U19)))</formula>
    </cfRule>
  </conditionalFormatting>
  <conditionalFormatting sqref="AA14:AB14">
    <cfRule type="containsText" dxfId="26" priority="1" operator="containsText" text="L">
      <formula>NOT(ISERROR(SEARCH("L",AA14)))</formula>
    </cfRule>
  </conditionalFormatting>
  <conditionalFormatting sqref="AC13">
    <cfRule type="containsText" dxfId="25" priority="9" operator="containsText" text="L">
      <formula>NOT(ISERROR(SEARCH("L",AC13)))</formula>
    </cfRule>
  </conditionalFormatting>
  <conditionalFormatting sqref="AC19">
    <cfRule type="containsText" dxfId="24" priority="5" operator="containsText" text="L">
      <formula>NOT(ISERROR(SEARCH("L",AC19)))</formula>
    </cfRule>
  </conditionalFormatting>
  <conditionalFormatting sqref="AD14:AG14">
    <cfRule type="containsText" dxfId="23" priority="12" operator="containsText" text="L">
      <formula>NOT(ISERROR(SEARCH("L",AD14)))</formula>
    </cfRule>
  </conditionalFormatting>
  <conditionalFormatting sqref="AI14:AM14">
    <cfRule type="containsText" dxfId="22" priority="13" operator="containsText" text="L">
      <formula>NOT(ISERROR(SEARCH("L",AI14)))</formula>
    </cfRule>
  </conditionalFormatting>
  <conditionalFormatting sqref="AK13">
    <cfRule type="containsText" dxfId="21" priority="8" operator="containsText" text="L">
      <formula>NOT(ISERROR(SEARCH("L",AK13)))</formula>
    </cfRule>
  </conditionalFormatting>
  <conditionalFormatting sqref="AK19">
    <cfRule type="containsText" dxfId="20" priority="4" operator="containsText" text="L">
      <formula>NOT(ISERROR(SEARCH("L",AK19)))</formula>
    </cfRule>
  </conditionalFormatting>
  <conditionalFormatting sqref="AM13">
    <cfRule type="containsText" dxfId="19" priority="7" operator="containsText" text="L">
      <formula>NOT(ISERROR(SEARCH("L",AM13)))</formula>
    </cfRule>
  </conditionalFormatting>
  <conditionalFormatting sqref="AM19">
    <cfRule type="containsText" dxfId="18" priority="3" operator="containsText" text="L">
      <formula>NOT(ISERROR(SEARCH("L",AM19)))</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983CF-A4BB-4572-BB6C-5942FD6D6D97}">
  <dimension ref="A2:AS49"/>
  <sheetViews>
    <sheetView showGridLines="0" topLeftCell="A43" zoomScale="85" zoomScaleNormal="85" workbookViewId="0">
      <selection activeCell="AK52" sqref="AK52:AK53"/>
    </sheetView>
  </sheetViews>
  <sheetFormatPr baseColWidth="10" defaultColWidth="11.453125" defaultRowHeight="14.5"/>
  <cols>
    <col min="1" max="1" width="11.453125" style="168"/>
    <col min="2" max="2" width="54.26953125" style="168" customWidth="1"/>
    <col min="3" max="26" width="5" style="168" customWidth="1"/>
    <col min="27" max="27" width="4.7265625" style="168" customWidth="1"/>
    <col min="28" max="40" width="5" style="168" customWidth="1"/>
    <col min="41" max="41" width="35" style="168" customWidth="1"/>
    <col min="42" max="42" width="7.7265625" style="168" customWidth="1"/>
    <col min="43" max="43" width="6.7265625" style="168" customWidth="1"/>
    <col min="44" max="44" width="22.26953125" style="168" customWidth="1"/>
    <col min="45" max="45" width="11.453125" style="168"/>
    <col min="46" max="16384" width="11.453125" style="171"/>
  </cols>
  <sheetData>
    <row r="2" spans="1:45" ht="26">
      <c r="B2" s="588"/>
      <c r="C2" s="169"/>
      <c r="D2" s="591" t="s">
        <v>0</v>
      </c>
      <c r="E2" s="591"/>
      <c r="F2" s="591"/>
      <c r="G2" s="591"/>
      <c r="H2" s="591"/>
      <c r="I2" s="591"/>
      <c r="J2" s="591"/>
      <c r="K2" s="591"/>
      <c r="L2" s="591"/>
      <c r="M2" s="591"/>
      <c r="N2" s="591"/>
      <c r="O2" s="591"/>
      <c r="P2" s="591"/>
      <c r="Q2" s="591"/>
      <c r="R2" s="591"/>
      <c r="S2" s="591"/>
      <c r="T2" s="591"/>
      <c r="U2" s="591"/>
      <c r="V2" s="591"/>
      <c r="W2" s="591"/>
      <c r="X2" s="591"/>
      <c r="Y2" s="591"/>
      <c r="Z2" s="591"/>
      <c r="AA2" s="591"/>
      <c r="AB2" s="591"/>
      <c r="AC2" s="591"/>
      <c r="AD2" s="591"/>
      <c r="AE2" s="591"/>
      <c r="AF2" s="591"/>
      <c r="AG2" s="591"/>
      <c r="AH2" s="591"/>
      <c r="AI2" s="591"/>
      <c r="AJ2" s="591"/>
      <c r="AK2" s="591"/>
      <c r="AL2" s="591"/>
      <c r="AM2" s="591"/>
      <c r="AN2" s="591"/>
      <c r="AO2" s="170"/>
      <c r="AP2" s="170"/>
      <c r="AQ2" s="83" t="s">
        <v>1</v>
      </c>
      <c r="AR2" s="83"/>
    </row>
    <row r="3" spans="1:45" ht="26">
      <c r="B3" s="589"/>
      <c r="C3" s="172"/>
      <c r="D3" s="592"/>
      <c r="E3" s="592"/>
      <c r="F3" s="592"/>
      <c r="G3" s="592"/>
      <c r="H3" s="592"/>
      <c r="I3" s="592"/>
      <c r="J3" s="592"/>
      <c r="K3" s="592"/>
      <c r="L3" s="592"/>
      <c r="M3" s="592"/>
      <c r="N3" s="592"/>
      <c r="O3" s="592"/>
      <c r="P3" s="592"/>
      <c r="Q3" s="592"/>
      <c r="R3" s="592"/>
      <c r="S3" s="592"/>
      <c r="T3" s="592"/>
      <c r="U3" s="592"/>
      <c r="V3" s="592"/>
      <c r="W3" s="592"/>
      <c r="X3" s="592"/>
      <c r="Y3" s="592"/>
      <c r="Z3" s="592"/>
      <c r="AA3" s="592"/>
      <c r="AB3" s="592"/>
      <c r="AC3" s="592"/>
      <c r="AD3" s="592"/>
      <c r="AE3" s="592"/>
      <c r="AF3" s="592"/>
      <c r="AG3" s="592"/>
      <c r="AH3" s="592"/>
      <c r="AI3" s="592"/>
      <c r="AJ3" s="592"/>
      <c r="AK3" s="592"/>
      <c r="AL3" s="592"/>
      <c r="AM3" s="592"/>
      <c r="AN3" s="592"/>
      <c r="AO3" s="173"/>
      <c r="AP3" s="173"/>
      <c r="AQ3" s="560" t="s">
        <v>62</v>
      </c>
      <c r="AR3" s="561"/>
      <c r="AS3" s="174"/>
    </row>
    <row r="4" spans="1:45" ht="26">
      <c r="B4" s="589"/>
      <c r="C4" s="172"/>
      <c r="D4" s="592"/>
      <c r="E4" s="592"/>
      <c r="F4" s="592"/>
      <c r="G4" s="592"/>
      <c r="H4" s="592"/>
      <c r="I4" s="592"/>
      <c r="J4" s="592"/>
      <c r="K4" s="592"/>
      <c r="L4" s="592"/>
      <c r="M4" s="592"/>
      <c r="N4" s="592"/>
      <c r="O4" s="592"/>
      <c r="P4" s="592"/>
      <c r="Q4" s="592"/>
      <c r="R4" s="592"/>
      <c r="S4" s="592"/>
      <c r="T4" s="592"/>
      <c r="U4" s="592"/>
      <c r="V4" s="592"/>
      <c r="W4" s="592"/>
      <c r="X4" s="592"/>
      <c r="Y4" s="592"/>
      <c r="Z4" s="592"/>
      <c r="AA4" s="592"/>
      <c r="AB4" s="592"/>
      <c r="AC4" s="592"/>
      <c r="AD4" s="592"/>
      <c r="AE4" s="592"/>
      <c r="AF4" s="592"/>
      <c r="AG4" s="592"/>
      <c r="AH4" s="592"/>
      <c r="AI4" s="592"/>
      <c r="AJ4" s="592"/>
      <c r="AK4" s="592"/>
      <c r="AL4" s="592"/>
      <c r="AM4" s="592"/>
      <c r="AN4" s="592"/>
      <c r="AO4" s="173"/>
      <c r="AP4" s="173"/>
      <c r="AQ4" s="560" t="s">
        <v>63</v>
      </c>
      <c r="AR4" s="561"/>
      <c r="AS4" s="174"/>
    </row>
    <row r="5" spans="1:45" ht="26">
      <c r="B5" s="590"/>
      <c r="C5" s="175"/>
      <c r="D5" s="593"/>
      <c r="E5" s="593"/>
      <c r="F5" s="593"/>
      <c r="G5" s="593"/>
      <c r="H5" s="593"/>
      <c r="I5" s="593"/>
      <c r="J5" s="593"/>
      <c r="K5" s="593"/>
      <c r="L5" s="593"/>
      <c r="M5" s="593"/>
      <c r="N5" s="593"/>
      <c r="O5" s="593"/>
      <c r="P5" s="593"/>
      <c r="Q5" s="593"/>
      <c r="R5" s="593"/>
      <c r="S5" s="593"/>
      <c r="T5" s="593"/>
      <c r="U5" s="593"/>
      <c r="V5" s="593"/>
      <c r="W5" s="593"/>
      <c r="X5" s="593"/>
      <c r="Y5" s="593"/>
      <c r="Z5" s="593"/>
      <c r="AA5" s="593"/>
      <c r="AB5" s="593"/>
      <c r="AC5" s="593"/>
      <c r="AD5" s="593"/>
      <c r="AE5" s="593"/>
      <c r="AF5" s="593"/>
      <c r="AG5" s="593"/>
      <c r="AH5" s="593"/>
      <c r="AI5" s="593"/>
      <c r="AJ5" s="593"/>
      <c r="AK5" s="593"/>
      <c r="AL5" s="593"/>
      <c r="AM5" s="593"/>
      <c r="AN5" s="593"/>
      <c r="AO5" s="176"/>
      <c r="AP5" s="176"/>
      <c r="AQ5" s="560" t="s">
        <v>2</v>
      </c>
      <c r="AR5" s="561"/>
      <c r="AS5" s="174"/>
    </row>
    <row r="7" spans="1:45" ht="18.5">
      <c r="A7" s="177"/>
      <c r="B7" s="178" t="s">
        <v>3</v>
      </c>
      <c r="C7" s="179" t="s">
        <v>4</v>
      </c>
      <c r="D7" s="180"/>
      <c r="E7" s="180"/>
      <c r="F7" s="177"/>
      <c r="G7" s="177"/>
      <c r="H7" s="177"/>
      <c r="I7" s="177"/>
      <c r="J7" s="177"/>
      <c r="K7" s="177"/>
      <c r="M7" s="177"/>
      <c r="N7" s="177"/>
      <c r="O7" s="177"/>
      <c r="P7" s="177"/>
      <c r="Q7" s="177"/>
      <c r="R7" s="177"/>
      <c r="S7" s="177"/>
      <c r="T7" s="177"/>
      <c r="U7" s="177"/>
      <c r="V7" s="177"/>
      <c r="W7" s="177"/>
      <c r="X7" s="177"/>
      <c r="Y7" s="177"/>
      <c r="Z7" s="177"/>
      <c r="AA7" s="177"/>
      <c r="AB7" s="177"/>
      <c r="AC7" s="177"/>
      <c r="AD7" s="177"/>
      <c r="AE7" s="177"/>
      <c r="AF7" s="177"/>
      <c r="AG7" s="177"/>
      <c r="AH7" s="177"/>
      <c r="AI7" s="177"/>
      <c r="AJ7" s="177"/>
      <c r="AK7" s="177"/>
      <c r="AL7" s="177"/>
      <c r="AM7" s="177"/>
      <c r="AN7" s="177"/>
      <c r="AO7" s="177"/>
      <c r="AP7" s="177"/>
      <c r="AQ7" s="177"/>
      <c r="AR7" s="177"/>
      <c r="AS7" s="177"/>
    </row>
    <row r="8" spans="1:45" ht="18.5">
      <c r="A8" s="177"/>
      <c r="B8" s="178" t="s">
        <v>5</v>
      </c>
      <c r="C8" s="178" t="s">
        <v>83</v>
      </c>
      <c r="D8" s="180"/>
      <c r="E8" s="180"/>
      <c r="F8" s="177"/>
      <c r="G8" s="177"/>
      <c r="H8" s="177"/>
      <c r="I8" s="177"/>
      <c r="J8" s="177"/>
      <c r="K8" s="177"/>
      <c r="M8" s="177"/>
      <c r="N8" s="177"/>
      <c r="O8" s="177"/>
      <c r="P8" s="177"/>
      <c r="Q8" s="177"/>
      <c r="R8" s="177"/>
      <c r="S8" s="177"/>
      <c r="T8" s="177"/>
      <c r="U8" s="177"/>
      <c r="V8" s="177"/>
      <c r="W8" s="177"/>
      <c r="X8" s="177"/>
      <c r="Y8" s="177"/>
      <c r="Z8" s="177"/>
      <c r="AA8" s="177"/>
      <c r="AB8" s="177"/>
      <c r="AC8" s="177"/>
      <c r="AD8" s="177"/>
      <c r="AE8" s="177"/>
      <c r="AF8" s="177"/>
      <c r="AG8" s="177"/>
      <c r="AH8" s="177"/>
      <c r="AI8" s="177"/>
      <c r="AJ8" s="177"/>
      <c r="AK8" s="177"/>
      <c r="AL8" s="177"/>
      <c r="AM8" s="177"/>
      <c r="AN8" s="177"/>
      <c r="AO8" s="177"/>
      <c r="AP8" s="177"/>
      <c r="AQ8" s="177"/>
      <c r="AR8" s="177"/>
      <c r="AS8" s="177"/>
    </row>
    <row r="9" spans="1:45" ht="18.5">
      <c r="A9" s="177"/>
      <c r="B9" s="178" t="s">
        <v>6</v>
      </c>
      <c r="C9" s="181" t="s">
        <v>79</v>
      </c>
      <c r="D9" s="182"/>
      <c r="E9" s="182"/>
      <c r="F9" s="177"/>
      <c r="G9" s="177"/>
      <c r="H9" s="177"/>
      <c r="I9" s="177"/>
      <c r="J9" s="177"/>
      <c r="K9" s="177"/>
      <c r="M9" s="177"/>
      <c r="N9" s="177"/>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row>
    <row r="10" spans="1:45" ht="16" thickBot="1">
      <c r="A10" s="177"/>
      <c r="B10" s="177"/>
      <c r="C10" s="177"/>
      <c r="D10" s="177"/>
      <c r="E10" s="177"/>
      <c r="F10" s="177"/>
      <c r="G10" s="177"/>
      <c r="H10" s="177"/>
      <c r="I10" s="177"/>
      <c r="J10" s="177"/>
      <c r="K10" s="177"/>
      <c r="L10" s="177"/>
      <c r="M10" s="177"/>
      <c r="N10" s="177"/>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row>
    <row r="11" spans="1:45" ht="16" thickBot="1">
      <c r="A11" s="177"/>
      <c r="B11" s="243" t="s">
        <v>26</v>
      </c>
      <c r="C11" s="613" t="s">
        <v>58</v>
      </c>
      <c r="D11" s="613"/>
      <c r="E11" s="613"/>
      <c r="F11" s="613"/>
      <c r="G11" s="613"/>
      <c r="H11" s="613"/>
      <c r="I11" s="613"/>
      <c r="J11" s="613"/>
      <c r="K11" s="613"/>
      <c r="L11" s="613"/>
      <c r="M11" s="613"/>
      <c r="N11" s="613"/>
      <c r="O11" s="613"/>
      <c r="P11" s="613"/>
      <c r="Q11" s="613"/>
      <c r="R11" s="613"/>
      <c r="S11" s="613"/>
      <c r="T11" s="613"/>
      <c r="U11" s="613"/>
      <c r="V11" s="613"/>
      <c r="W11" s="613"/>
      <c r="X11" s="613"/>
      <c r="Y11" s="613"/>
      <c r="Z11" s="613"/>
      <c r="AA11" s="613"/>
      <c r="AB11" s="613"/>
      <c r="AC11" s="613"/>
      <c r="AD11" s="613"/>
      <c r="AE11" s="613"/>
      <c r="AF11" s="613"/>
      <c r="AG11" s="613"/>
      <c r="AH11" s="613"/>
      <c r="AI11" s="613"/>
      <c r="AJ11" s="613"/>
      <c r="AK11" s="613"/>
      <c r="AL11" s="613"/>
      <c r="AM11" s="613"/>
      <c r="AN11" s="613"/>
      <c r="AO11" s="244"/>
      <c r="AP11" s="171"/>
      <c r="AQ11" s="171"/>
      <c r="AR11" s="171"/>
      <c r="AS11" s="185"/>
    </row>
    <row r="12" spans="1:45" ht="18.75" customHeight="1">
      <c r="A12" s="186"/>
      <c r="B12" s="608" t="s">
        <v>7</v>
      </c>
      <c r="C12" s="187" t="s">
        <v>12</v>
      </c>
      <c r="D12" s="187" t="s">
        <v>13</v>
      </c>
      <c r="E12" s="188" t="s">
        <v>14</v>
      </c>
      <c r="F12" s="189" t="s">
        <v>8</v>
      </c>
      <c r="G12" s="189" t="s">
        <v>9</v>
      </c>
      <c r="H12" s="189" t="s">
        <v>9</v>
      </c>
      <c r="I12" s="189" t="s">
        <v>10</v>
      </c>
      <c r="J12" s="187" t="s">
        <v>11</v>
      </c>
      <c r="K12" s="187" t="s">
        <v>12</v>
      </c>
      <c r="L12" s="187" t="s">
        <v>13</v>
      </c>
      <c r="M12" s="188" t="s">
        <v>14</v>
      </c>
      <c r="N12" s="189" t="s">
        <v>8</v>
      </c>
      <c r="O12" s="189" t="s">
        <v>9</v>
      </c>
      <c r="P12" s="189" t="s">
        <v>9</v>
      </c>
      <c r="Q12" s="189" t="s">
        <v>10</v>
      </c>
      <c r="R12" s="189" t="s">
        <v>11</v>
      </c>
      <c r="S12" s="187" t="s">
        <v>12</v>
      </c>
      <c r="T12" s="187" t="s">
        <v>13</v>
      </c>
      <c r="U12" s="188" t="s">
        <v>14</v>
      </c>
      <c r="V12" s="187" t="s">
        <v>8</v>
      </c>
      <c r="W12" s="189" t="s">
        <v>9</v>
      </c>
      <c r="X12" s="189" t="s">
        <v>9</v>
      </c>
      <c r="Y12" s="189" t="s">
        <v>10</v>
      </c>
      <c r="Z12" s="189" t="s">
        <v>11</v>
      </c>
      <c r="AA12" s="187" t="s">
        <v>12</v>
      </c>
      <c r="AB12" s="187" t="s">
        <v>13</v>
      </c>
      <c r="AC12" s="188" t="s">
        <v>14</v>
      </c>
      <c r="AD12" s="189" t="s">
        <v>8</v>
      </c>
      <c r="AE12" s="189" t="s">
        <v>9</v>
      </c>
      <c r="AF12" s="189" t="s">
        <v>9</v>
      </c>
      <c r="AG12" s="189" t="s">
        <v>10</v>
      </c>
      <c r="AH12" s="189" t="s">
        <v>11</v>
      </c>
      <c r="AI12" s="187" t="s">
        <v>12</v>
      </c>
      <c r="AJ12" s="187" t="s">
        <v>13</v>
      </c>
      <c r="AK12" s="188" t="s">
        <v>14</v>
      </c>
      <c r="AL12" s="189" t="s">
        <v>8</v>
      </c>
      <c r="AM12" s="188" t="s">
        <v>14</v>
      </c>
      <c r="AN12" s="610" t="s">
        <v>15</v>
      </c>
      <c r="AO12" s="582" t="s">
        <v>15</v>
      </c>
      <c r="AP12" s="185"/>
      <c r="AQ12" s="171"/>
      <c r="AR12" s="171"/>
      <c r="AS12" s="171"/>
    </row>
    <row r="13" spans="1:45" ht="19.5" customHeight="1" thickBot="1">
      <c r="A13" s="186"/>
      <c r="B13" s="609"/>
      <c r="C13" s="190">
        <v>1</v>
      </c>
      <c r="D13" s="191">
        <v>2</v>
      </c>
      <c r="E13" s="192"/>
      <c r="F13" s="192">
        <v>3</v>
      </c>
      <c r="G13" s="192">
        <v>4</v>
      </c>
      <c r="H13" s="192">
        <v>5</v>
      </c>
      <c r="I13" s="193">
        <v>6</v>
      </c>
      <c r="J13" s="190">
        <v>7</v>
      </c>
      <c r="K13" s="190">
        <v>8</v>
      </c>
      <c r="L13" s="190">
        <v>9</v>
      </c>
      <c r="M13" s="192"/>
      <c r="N13" s="192">
        <v>10</v>
      </c>
      <c r="O13" s="192">
        <v>11</v>
      </c>
      <c r="P13" s="192">
        <v>12</v>
      </c>
      <c r="Q13" s="192">
        <v>13</v>
      </c>
      <c r="R13" s="192">
        <v>14</v>
      </c>
      <c r="S13" s="190">
        <v>15</v>
      </c>
      <c r="T13" s="190">
        <v>16</v>
      </c>
      <c r="U13" s="194"/>
      <c r="V13" s="191">
        <v>17</v>
      </c>
      <c r="W13" s="192">
        <v>18</v>
      </c>
      <c r="X13" s="192">
        <v>19</v>
      </c>
      <c r="Y13" s="192">
        <v>20</v>
      </c>
      <c r="Z13" s="192">
        <v>21</v>
      </c>
      <c r="AA13" s="191">
        <v>22</v>
      </c>
      <c r="AB13" s="191">
        <v>23</v>
      </c>
      <c r="AC13" s="194"/>
      <c r="AD13" s="192">
        <v>24</v>
      </c>
      <c r="AE13" s="192">
        <v>25</v>
      </c>
      <c r="AF13" s="192">
        <v>26</v>
      </c>
      <c r="AG13" s="192">
        <v>27</v>
      </c>
      <c r="AH13" s="192">
        <v>28</v>
      </c>
      <c r="AI13" s="191">
        <v>29</v>
      </c>
      <c r="AJ13" s="191">
        <v>30</v>
      </c>
      <c r="AK13" s="194"/>
      <c r="AL13" s="192">
        <v>31</v>
      </c>
      <c r="AM13" s="194"/>
      <c r="AN13" s="611"/>
      <c r="AO13" s="612"/>
      <c r="AP13" s="185"/>
      <c r="AQ13" s="171"/>
      <c r="AR13" s="171"/>
      <c r="AS13" s="171"/>
    </row>
    <row r="14" spans="1:45" ht="18.5">
      <c r="A14" s="186"/>
      <c r="B14" s="245" t="s">
        <v>84</v>
      </c>
      <c r="C14" s="246" t="s">
        <v>8</v>
      </c>
      <c r="D14" s="246" t="s">
        <v>8</v>
      </c>
      <c r="E14" s="246"/>
      <c r="F14" s="246" t="s">
        <v>33</v>
      </c>
      <c r="G14" s="246" t="s">
        <v>33</v>
      </c>
      <c r="H14" s="246" t="s">
        <v>33</v>
      </c>
      <c r="I14" s="246" t="s">
        <v>33</v>
      </c>
      <c r="J14" s="246" t="s">
        <v>8</v>
      </c>
      <c r="K14" s="246" t="s">
        <v>8</v>
      </c>
      <c r="L14" s="246" t="s">
        <v>8</v>
      </c>
      <c r="M14" s="246"/>
      <c r="N14" s="246" t="s">
        <v>33</v>
      </c>
      <c r="O14" s="246" t="s">
        <v>33</v>
      </c>
      <c r="P14" s="246" t="s">
        <v>33</v>
      </c>
      <c r="Q14" s="246" t="s">
        <v>33</v>
      </c>
      <c r="R14" s="246" t="s">
        <v>33</v>
      </c>
      <c r="S14" s="246" t="s">
        <v>8</v>
      </c>
      <c r="T14" s="246" t="s">
        <v>8</v>
      </c>
      <c r="U14" s="246"/>
      <c r="V14" s="246" t="s">
        <v>8</v>
      </c>
      <c r="W14" s="246" t="s">
        <v>33</v>
      </c>
      <c r="X14" s="246" t="s">
        <v>33</v>
      </c>
      <c r="Y14" s="246" t="s">
        <v>33</v>
      </c>
      <c r="Z14" s="246" t="s">
        <v>33</v>
      </c>
      <c r="AA14" s="246" t="s">
        <v>8</v>
      </c>
      <c r="AB14" s="246" t="s">
        <v>8</v>
      </c>
      <c r="AC14" s="246"/>
      <c r="AD14" s="246" t="s">
        <v>13</v>
      </c>
      <c r="AE14" s="246" t="s">
        <v>13</v>
      </c>
      <c r="AF14" s="246" t="s">
        <v>13</v>
      </c>
      <c r="AG14" s="246" t="s">
        <v>13</v>
      </c>
      <c r="AH14" s="246" t="s">
        <v>13</v>
      </c>
      <c r="AI14" s="246" t="s">
        <v>33</v>
      </c>
      <c r="AJ14" s="246" t="s">
        <v>8</v>
      </c>
      <c r="AK14" s="247"/>
      <c r="AL14" s="246" t="s">
        <v>13</v>
      </c>
      <c r="AM14" s="247"/>
      <c r="AN14" s="247"/>
      <c r="AO14" s="248"/>
      <c r="AP14" s="185"/>
      <c r="AQ14" s="171"/>
      <c r="AR14" s="171"/>
      <c r="AS14" s="171"/>
    </row>
    <row r="15" spans="1:45" ht="19" thickBot="1">
      <c r="A15" s="186"/>
      <c r="B15" s="249" t="s">
        <v>85</v>
      </c>
      <c r="C15" s="196" t="s">
        <v>8</v>
      </c>
      <c r="D15" s="196" t="s">
        <v>8</v>
      </c>
      <c r="E15" s="196"/>
      <c r="F15" s="196" t="s">
        <v>32</v>
      </c>
      <c r="G15" s="196" t="s">
        <v>32</v>
      </c>
      <c r="H15" s="196" t="s">
        <v>32</v>
      </c>
      <c r="I15" s="196" t="s">
        <v>32</v>
      </c>
      <c r="J15" s="196" t="s">
        <v>8</v>
      </c>
      <c r="K15" s="196" t="s">
        <v>8</v>
      </c>
      <c r="L15" s="196" t="s">
        <v>8</v>
      </c>
      <c r="M15" s="196"/>
      <c r="N15" s="196" t="s">
        <v>32</v>
      </c>
      <c r="O15" s="196" t="s">
        <v>32</v>
      </c>
      <c r="P15" s="196" t="s">
        <v>32</v>
      </c>
      <c r="Q15" s="196" t="s">
        <v>32</v>
      </c>
      <c r="R15" s="196" t="s">
        <v>32</v>
      </c>
      <c r="S15" s="196" t="s">
        <v>32</v>
      </c>
      <c r="T15" s="250" t="s">
        <v>8</v>
      </c>
      <c r="U15" s="196"/>
      <c r="V15" s="196" t="s">
        <v>8</v>
      </c>
      <c r="W15" s="196" t="s">
        <v>32</v>
      </c>
      <c r="X15" s="196" t="s">
        <v>32</v>
      </c>
      <c r="Y15" s="196" t="s">
        <v>32</v>
      </c>
      <c r="Z15" s="196" t="s">
        <v>32</v>
      </c>
      <c r="AA15" s="196" t="s">
        <v>8</v>
      </c>
      <c r="AB15" s="196" t="s">
        <v>8</v>
      </c>
      <c r="AC15" s="196"/>
      <c r="AD15" s="196" t="s">
        <v>17</v>
      </c>
      <c r="AE15" s="196" t="s">
        <v>17</v>
      </c>
      <c r="AF15" s="196" t="s">
        <v>17</v>
      </c>
      <c r="AG15" s="196" t="s">
        <v>17</v>
      </c>
      <c r="AH15" s="196" t="s">
        <v>17</v>
      </c>
      <c r="AI15" s="198" t="s">
        <v>8</v>
      </c>
      <c r="AJ15" s="198" t="s">
        <v>8</v>
      </c>
      <c r="AK15" s="198"/>
      <c r="AL15" s="196" t="s">
        <v>17</v>
      </c>
      <c r="AM15" s="198"/>
      <c r="AN15" s="198"/>
      <c r="AO15" s="199"/>
      <c r="AP15" s="185"/>
      <c r="AQ15" s="171"/>
      <c r="AR15" s="171"/>
      <c r="AS15" s="171"/>
    </row>
    <row r="16" spans="1:45" ht="16" thickBot="1">
      <c r="A16" s="177"/>
      <c r="B16" s="200"/>
      <c r="C16" s="200"/>
      <c r="D16" s="200"/>
      <c r="E16" s="200"/>
      <c r="F16" s="200"/>
      <c r="G16" s="200"/>
      <c r="H16" s="200"/>
      <c r="I16" s="200"/>
      <c r="J16" s="200"/>
      <c r="K16" s="200"/>
      <c r="L16" s="200"/>
      <c r="M16" s="200"/>
      <c r="N16" s="200"/>
      <c r="O16" s="200"/>
      <c r="P16" s="200"/>
      <c r="Q16" s="200"/>
      <c r="R16" s="200"/>
      <c r="S16" s="200"/>
      <c r="T16" s="200"/>
      <c r="U16" s="200"/>
      <c r="V16" s="200"/>
      <c r="W16" s="200"/>
      <c r="X16" s="200"/>
      <c r="Y16" s="200"/>
      <c r="Z16" s="200"/>
      <c r="AA16" s="200"/>
      <c r="AB16" s="200"/>
      <c r="AC16" s="200"/>
      <c r="AD16" s="200"/>
      <c r="AE16" s="200"/>
      <c r="AF16" s="200"/>
      <c r="AG16" s="200"/>
      <c r="AH16" s="200"/>
      <c r="AI16" s="200"/>
      <c r="AJ16" s="200"/>
      <c r="AK16" s="200"/>
      <c r="AL16" s="200"/>
      <c r="AM16" s="200"/>
      <c r="AN16" s="200"/>
      <c r="AO16" s="200"/>
      <c r="AP16" s="200"/>
      <c r="AQ16" s="200"/>
      <c r="AR16" s="200"/>
      <c r="AS16" s="185"/>
    </row>
    <row r="17" spans="1:45" ht="16" thickBot="1">
      <c r="A17" s="177"/>
      <c r="B17" s="243" t="s">
        <v>26</v>
      </c>
      <c r="C17" s="613" t="s">
        <v>58</v>
      </c>
      <c r="D17" s="613"/>
      <c r="E17" s="613"/>
      <c r="F17" s="613"/>
      <c r="G17" s="613"/>
      <c r="H17" s="613"/>
      <c r="I17" s="613"/>
      <c r="J17" s="613"/>
      <c r="K17" s="613"/>
      <c r="L17" s="613"/>
      <c r="M17" s="613"/>
      <c r="N17" s="613"/>
      <c r="O17" s="613"/>
      <c r="P17" s="613"/>
      <c r="Q17" s="613"/>
      <c r="R17" s="613"/>
      <c r="S17" s="613"/>
      <c r="T17" s="613"/>
      <c r="U17" s="613"/>
      <c r="V17" s="613"/>
      <c r="W17" s="613"/>
      <c r="X17" s="613"/>
      <c r="Y17" s="613"/>
      <c r="Z17" s="613"/>
      <c r="AA17" s="613"/>
      <c r="AB17" s="613"/>
      <c r="AC17" s="613"/>
      <c r="AD17" s="613"/>
      <c r="AE17" s="613"/>
      <c r="AF17" s="613"/>
      <c r="AG17" s="613"/>
      <c r="AH17" s="613"/>
      <c r="AI17" s="613"/>
      <c r="AJ17" s="613"/>
      <c r="AK17" s="613"/>
      <c r="AL17" s="613"/>
      <c r="AM17" s="613"/>
      <c r="AN17" s="613"/>
      <c r="AO17" s="244"/>
      <c r="AP17" s="185"/>
      <c r="AQ17" s="171"/>
      <c r="AR17" s="171"/>
      <c r="AS17" s="185"/>
    </row>
    <row r="18" spans="1:45" ht="18.75" customHeight="1">
      <c r="A18" s="177"/>
      <c r="B18" s="614" t="s">
        <v>7</v>
      </c>
      <c r="C18" s="251" t="s">
        <v>12</v>
      </c>
      <c r="D18" s="187" t="s">
        <v>13</v>
      </c>
      <c r="E18" s="188" t="s">
        <v>14</v>
      </c>
      <c r="F18" s="189" t="s">
        <v>8</v>
      </c>
      <c r="G18" s="189" t="s">
        <v>9</v>
      </c>
      <c r="H18" s="189" t="s">
        <v>9</v>
      </c>
      <c r="I18" s="189" t="s">
        <v>10</v>
      </c>
      <c r="J18" s="187" t="s">
        <v>11</v>
      </c>
      <c r="K18" s="187" t="s">
        <v>12</v>
      </c>
      <c r="L18" s="187" t="s">
        <v>13</v>
      </c>
      <c r="M18" s="188" t="s">
        <v>14</v>
      </c>
      <c r="N18" s="189" t="s">
        <v>8</v>
      </c>
      <c r="O18" s="189" t="s">
        <v>9</v>
      </c>
      <c r="P18" s="189" t="s">
        <v>9</v>
      </c>
      <c r="Q18" s="189" t="s">
        <v>10</v>
      </c>
      <c r="R18" s="189" t="s">
        <v>11</v>
      </c>
      <c r="S18" s="187" t="s">
        <v>12</v>
      </c>
      <c r="T18" s="187" t="s">
        <v>13</v>
      </c>
      <c r="U18" s="188" t="s">
        <v>14</v>
      </c>
      <c r="V18" s="187" t="s">
        <v>8</v>
      </c>
      <c r="W18" s="189" t="s">
        <v>9</v>
      </c>
      <c r="X18" s="189" t="s">
        <v>9</v>
      </c>
      <c r="Y18" s="189" t="s">
        <v>10</v>
      </c>
      <c r="Z18" s="189" t="s">
        <v>11</v>
      </c>
      <c r="AA18" s="187" t="s">
        <v>12</v>
      </c>
      <c r="AB18" s="187" t="s">
        <v>13</v>
      </c>
      <c r="AC18" s="188" t="s">
        <v>14</v>
      </c>
      <c r="AD18" s="189" t="s">
        <v>8</v>
      </c>
      <c r="AE18" s="189" t="s">
        <v>9</v>
      </c>
      <c r="AF18" s="189" t="s">
        <v>9</v>
      </c>
      <c r="AG18" s="189" t="s">
        <v>10</v>
      </c>
      <c r="AH18" s="189" t="s">
        <v>11</v>
      </c>
      <c r="AI18" s="187" t="s">
        <v>12</v>
      </c>
      <c r="AJ18" s="187" t="s">
        <v>13</v>
      </c>
      <c r="AK18" s="188" t="s">
        <v>14</v>
      </c>
      <c r="AL18" s="189" t="s">
        <v>8</v>
      </c>
      <c r="AM18" s="188" t="s">
        <v>14</v>
      </c>
      <c r="AN18" s="582" t="s">
        <v>15</v>
      </c>
      <c r="AO18" s="615" t="s">
        <v>15</v>
      </c>
      <c r="AP18" s="185"/>
      <c r="AQ18" s="171"/>
      <c r="AR18" s="171"/>
      <c r="AS18" s="171"/>
    </row>
    <row r="19" spans="1:45" ht="19.5" customHeight="1">
      <c r="A19" s="177"/>
      <c r="B19" s="581"/>
      <c r="C19" s="203">
        <v>1</v>
      </c>
      <c r="D19" s="191">
        <v>2</v>
      </c>
      <c r="E19" s="192"/>
      <c r="F19" s="192">
        <v>3</v>
      </c>
      <c r="G19" s="192">
        <v>4</v>
      </c>
      <c r="H19" s="192">
        <v>5</v>
      </c>
      <c r="I19" s="193">
        <v>6</v>
      </c>
      <c r="J19" s="190">
        <v>7</v>
      </c>
      <c r="K19" s="190">
        <v>8</v>
      </c>
      <c r="L19" s="190">
        <v>9</v>
      </c>
      <c r="M19" s="192"/>
      <c r="N19" s="192">
        <v>10</v>
      </c>
      <c r="O19" s="192">
        <v>11</v>
      </c>
      <c r="P19" s="192">
        <v>12</v>
      </c>
      <c r="Q19" s="192">
        <v>13</v>
      </c>
      <c r="R19" s="192">
        <v>14</v>
      </c>
      <c r="S19" s="190">
        <v>15</v>
      </c>
      <c r="T19" s="190">
        <v>16</v>
      </c>
      <c r="U19" s="194"/>
      <c r="V19" s="190">
        <v>17</v>
      </c>
      <c r="W19" s="192">
        <v>18</v>
      </c>
      <c r="X19" s="192">
        <v>19</v>
      </c>
      <c r="Y19" s="192">
        <v>20</v>
      </c>
      <c r="Z19" s="192">
        <v>21</v>
      </c>
      <c r="AA19" s="190">
        <v>22</v>
      </c>
      <c r="AB19" s="190">
        <v>23</v>
      </c>
      <c r="AC19" s="194"/>
      <c r="AD19" s="192">
        <v>24</v>
      </c>
      <c r="AE19" s="192">
        <v>25</v>
      </c>
      <c r="AF19" s="192">
        <v>26</v>
      </c>
      <c r="AG19" s="192">
        <v>27</v>
      </c>
      <c r="AH19" s="192">
        <v>28</v>
      </c>
      <c r="AI19" s="190">
        <v>29</v>
      </c>
      <c r="AJ19" s="190">
        <v>30</v>
      </c>
      <c r="AK19" s="194"/>
      <c r="AL19" s="192">
        <v>31</v>
      </c>
      <c r="AM19" s="194"/>
      <c r="AN19" s="583"/>
      <c r="AO19" s="584"/>
      <c r="AP19" s="185"/>
      <c r="AQ19" s="171"/>
      <c r="AR19" s="171"/>
      <c r="AS19" s="171"/>
    </row>
    <row r="20" spans="1:45" ht="15.5">
      <c r="A20" s="177"/>
      <c r="B20" s="205" t="str">
        <f>B14</f>
        <v>CRISTIAN ALEJANDRO SEPULVEDA ARDILA</v>
      </c>
      <c r="C20" s="203">
        <f>VLOOKUP(C14,$D$30:$U$36,18,FALSE)</f>
        <v>0</v>
      </c>
      <c r="D20" s="190">
        <f>VLOOKUP(D14,$D$30:$U$36,18,FALSE)</f>
        <v>0</v>
      </c>
      <c r="E20" s="194">
        <f>C20+D20</f>
        <v>0</v>
      </c>
      <c r="F20" s="194">
        <f t="shared" ref="F20:L21" si="0">VLOOKUP(F14,$D$30:$U$36,18,FALSE)</f>
        <v>8</v>
      </c>
      <c r="G20" s="194">
        <f t="shared" si="0"/>
        <v>8</v>
      </c>
      <c r="H20" s="194">
        <f t="shared" si="0"/>
        <v>8</v>
      </c>
      <c r="I20" s="194">
        <f t="shared" si="0"/>
        <v>8</v>
      </c>
      <c r="J20" s="190">
        <f t="shared" si="0"/>
        <v>0</v>
      </c>
      <c r="K20" s="190">
        <f t="shared" si="0"/>
        <v>0</v>
      </c>
      <c r="L20" s="190">
        <f t="shared" si="0"/>
        <v>0</v>
      </c>
      <c r="M20" s="194">
        <f>F20+G20+H20+I20+J20+K20+L20</f>
        <v>32</v>
      </c>
      <c r="N20" s="194">
        <f t="shared" ref="N20:T21" si="1">VLOOKUP(N14,$D$30:$U$36,18,FALSE)</f>
        <v>8</v>
      </c>
      <c r="O20" s="194">
        <f t="shared" si="1"/>
        <v>8</v>
      </c>
      <c r="P20" s="194">
        <f t="shared" si="1"/>
        <v>8</v>
      </c>
      <c r="Q20" s="194">
        <f t="shared" si="1"/>
        <v>8</v>
      </c>
      <c r="R20" s="194">
        <f t="shared" si="1"/>
        <v>8</v>
      </c>
      <c r="S20" s="190">
        <f t="shared" si="1"/>
        <v>0</v>
      </c>
      <c r="T20" s="190">
        <f t="shared" si="1"/>
        <v>0</v>
      </c>
      <c r="U20" s="194">
        <f>N20+O20+P20+Q20+R20+S20+T20</f>
        <v>40</v>
      </c>
      <c r="V20" s="190">
        <f t="shared" ref="V20:AB21" si="2">VLOOKUP(V14,$D$30:$U$36,18,FALSE)</f>
        <v>0</v>
      </c>
      <c r="W20" s="194">
        <f t="shared" si="2"/>
        <v>8</v>
      </c>
      <c r="X20" s="194">
        <f t="shared" si="2"/>
        <v>8</v>
      </c>
      <c r="Y20" s="194">
        <f t="shared" si="2"/>
        <v>8</v>
      </c>
      <c r="Z20" s="194">
        <f t="shared" si="2"/>
        <v>8</v>
      </c>
      <c r="AA20" s="190">
        <f t="shared" si="2"/>
        <v>0</v>
      </c>
      <c r="AB20" s="190">
        <f t="shared" si="2"/>
        <v>0</v>
      </c>
      <c r="AC20" s="194">
        <f>V20+W20+X20+Y20+Z20+AA20+AB20</f>
        <v>32</v>
      </c>
      <c r="AD20" s="194">
        <f t="shared" ref="AD20:AJ21" si="3">VLOOKUP(AD14,$D$30:$U$36,18,FALSE)</f>
        <v>9</v>
      </c>
      <c r="AE20" s="194">
        <f t="shared" si="3"/>
        <v>9</v>
      </c>
      <c r="AF20" s="194">
        <f t="shared" si="3"/>
        <v>9</v>
      </c>
      <c r="AG20" s="194">
        <f t="shared" si="3"/>
        <v>9</v>
      </c>
      <c r="AH20" s="194">
        <f t="shared" si="3"/>
        <v>9</v>
      </c>
      <c r="AI20" s="190">
        <f t="shared" si="3"/>
        <v>8</v>
      </c>
      <c r="AJ20" s="190">
        <f t="shared" si="3"/>
        <v>0</v>
      </c>
      <c r="AK20" s="194">
        <f>AD20+AE20+AF20+AG20+AH20+AI20+AJ20</f>
        <v>53</v>
      </c>
      <c r="AL20" s="194">
        <f>VLOOKUP(AL14,$D$30:$U$36,18,FALSE)</f>
        <v>9</v>
      </c>
      <c r="AM20" s="194">
        <f>AL20</f>
        <v>9</v>
      </c>
      <c r="AN20" s="252">
        <v>2</v>
      </c>
      <c r="AO20" s="253">
        <f>E20+M20+U20+AC20+AK20+AM20+AN20</f>
        <v>168</v>
      </c>
      <c r="AP20" s="185"/>
      <c r="AQ20" s="171"/>
      <c r="AR20" s="171"/>
      <c r="AS20" s="171"/>
    </row>
    <row r="21" spans="1:45" ht="15.5">
      <c r="A21" s="177"/>
      <c r="B21" s="205" t="str">
        <f>B15</f>
        <v>YESID ALEXANDER RAMIREZ</v>
      </c>
      <c r="C21" s="203">
        <f>VLOOKUP(C15,$D$30:$U$36,18,FALSE)</f>
        <v>0</v>
      </c>
      <c r="D21" s="190">
        <f>VLOOKUP(D15,$D$30:$U$36,18,FALSE)</f>
        <v>0</v>
      </c>
      <c r="E21" s="194">
        <f t="shared" ref="E21" si="4">C21+D21</f>
        <v>0</v>
      </c>
      <c r="F21" s="194">
        <f t="shared" si="0"/>
        <v>8</v>
      </c>
      <c r="G21" s="194">
        <f t="shared" si="0"/>
        <v>8</v>
      </c>
      <c r="H21" s="194">
        <f t="shared" si="0"/>
        <v>8</v>
      </c>
      <c r="I21" s="194">
        <f t="shared" si="0"/>
        <v>8</v>
      </c>
      <c r="J21" s="190">
        <f t="shared" si="0"/>
        <v>0</v>
      </c>
      <c r="K21" s="190">
        <f t="shared" si="0"/>
        <v>0</v>
      </c>
      <c r="L21" s="190">
        <f t="shared" si="0"/>
        <v>0</v>
      </c>
      <c r="M21" s="194">
        <f t="shared" ref="M21" si="5">F21+G21+H21+I21+J21+K21+L21</f>
        <v>32</v>
      </c>
      <c r="N21" s="194">
        <f t="shared" si="1"/>
        <v>8</v>
      </c>
      <c r="O21" s="194">
        <f t="shared" si="1"/>
        <v>8</v>
      </c>
      <c r="P21" s="194">
        <f t="shared" si="1"/>
        <v>8</v>
      </c>
      <c r="Q21" s="194">
        <f t="shared" si="1"/>
        <v>8</v>
      </c>
      <c r="R21" s="194">
        <f t="shared" si="1"/>
        <v>8</v>
      </c>
      <c r="S21" s="190">
        <f t="shared" si="1"/>
        <v>8</v>
      </c>
      <c r="T21" s="190">
        <f t="shared" si="1"/>
        <v>0</v>
      </c>
      <c r="U21" s="194">
        <f t="shared" ref="U21" si="6">N21+O21+P21+Q21+R21+S21+T21</f>
        <v>48</v>
      </c>
      <c r="V21" s="190">
        <f t="shared" si="2"/>
        <v>0</v>
      </c>
      <c r="W21" s="194">
        <f t="shared" si="2"/>
        <v>8</v>
      </c>
      <c r="X21" s="194">
        <f t="shared" si="2"/>
        <v>8</v>
      </c>
      <c r="Y21" s="194">
        <f t="shared" si="2"/>
        <v>8</v>
      </c>
      <c r="Z21" s="194">
        <f t="shared" si="2"/>
        <v>8</v>
      </c>
      <c r="AA21" s="190">
        <f t="shared" si="2"/>
        <v>0</v>
      </c>
      <c r="AB21" s="190">
        <f t="shared" si="2"/>
        <v>0</v>
      </c>
      <c r="AC21" s="194">
        <f t="shared" ref="AC21" si="7">V21+W21+X21+Y21+Z21+AA21+AB21</f>
        <v>32</v>
      </c>
      <c r="AD21" s="194">
        <f t="shared" si="3"/>
        <v>9</v>
      </c>
      <c r="AE21" s="194">
        <f t="shared" si="3"/>
        <v>9</v>
      </c>
      <c r="AF21" s="194">
        <f t="shared" si="3"/>
        <v>9</v>
      </c>
      <c r="AG21" s="194">
        <f t="shared" si="3"/>
        <v>9</v>
      </c>
      <c r="AH21" s="194">
        <f t="shared" si="3"/>
        <v>9</v>
      </c>
      <c r="AI21" s="190">
        <f t="shared" si="3"/>
        <v>0</v>
      </c>
      <c r="AJ21" s="190">
        <f t="shared" si="3"/>
        <v>0</v>
      </c>
      <c r="AK21" s="194">
        <f t="shared" ref="AK21" si="8">AD21+AE21+AF21+AG21+AH21+AI21+AJ21</f>
        <v>45</v>
      </c>
      <c r="AL21" s="194">
        <f>VLOOKUP(AL15,$D$30:$U$36,18,FALSE)</f>
        <v>9</v>
      </c>
      <c r="AM21" s="194">
        <f t="shared" ref="AM21" si="9">AL21</f>
        <v>9</v>
      </c>
      <c r="AN21" s="252">
        <v>2</v>
      </c>
      <c r="AO21" s="253">
        <f>E21+M21+U21+AC21+AK21+AM21+AN21</f>
        <v>168</v>
      </c>
      <c r="AP21" s="185"/>
      <c r="AQ21" s="204"/>
      <c r="AR21" s="171"/>
      <c r="AS21" s="171"/>
    </row>
    <row r="22" spans="1:45" ht="16" thickBot="1">
      <c r="A22" s="207"/>
      <c r="B22" s="208" t="s">
        <v>18</v>
      </c>
      <c r="C22" s="254">
        <f t="shared" ref="C22:L22" si="10">SUM(C20:C21)</f>
        <v>0</v>
      </c>
      <c r="D22" s="212">
        <f t="shared" si="10"/>
        <v>0</v>
      </c>
      <c r="E22" s="196"/>
      <c r="F22" s="210">
        <f t="shared" si="10"/>
        <v>16</v>
      </c>
      <c r="G22" s="210">
        <f t="shared" si="10"/>
        <v>16</v>
      </c>
      <c r="H22" s="210">
        <f t="shared" si="10"/>
        <v>16</v>
      </c>
      <c r="I22" s="210">
        <f t="shared" si="10"/>
        <v>16</v>
      </c>
      <c r="J22" s="212">
        <f t="shared" si="10"/>
        <v>0</v>
      </c>
      <c r="K22" s="212">
        <f t="shared" si="10"/>
        <v>0</v>
      </c>
      <c r="L22" s="212">
        <f t="shared" si="10"/>
        <v>0</v>
      </c>
      <c r="M22" s="196"/>
      <c r="N22" s="211">
        <f t="shared" ref="N22:T22" si="11">SUM(N20:N21)</f>
        <v>16</v>
      </c>
      <c r="O22" s="211">
        <f t="shared" si="11"/>
        <v>16</v>
      </c>
      <c r="P22" s="211">
        <f t="shared" si="11"/>
        <v>16</v>
      </c>
      <c r="Q22" s="211">
        <f t="shared" si="11"/>
        <v>16</v>
      </c>
      <c r="R22" s="211">
        <f t="shared" si="11"/>
        <v>16</v>
      </c>
      <c r="S22" s="212">
        <f t="shared" si="11"/>
        <v>8</v>
      </c>
      <c r="T22" s="212">
        <f t="shared" si="11"/>
        <v>0</v>
      </c>
      <c r="U22" s="196"/>
      <c r="V22" s="212">
        <f t="shared" ref="V22:AB22" si="12">SUM(V20:V21)</f>
        <v>0</v>
      </c>
      <c r="W22" s="211">
        <f t="shared" si="12"/>
        <v>16</v>
      </c>
      <c r="X22" s="211">
        <f t="shared" si="12"/>
        <v>16</v>
      </c>
      <c r="Y22" s="211">
        <f t="shared" si="12"/>
        <v>16</v>
      </c>
      <c r="Z22" s="211">
        <f t="shared" si="12"/>
        <v>16</v>
      </c>
      <c r="AA22" s="212">
        <f t="shared" si="12"/>
        <v>0</v>
      </c>
      <c r="AB22" s="212">
        <f t="shared" si="12"/>
        <v>0</v>
      </c>
      <c r="AC22" s="196"/>
      <c r="AD22" s="211">
        <f t="shared" ref="AD22:AJ22" si="13">SUM(AD20:AD21)</f>
        <v>18</v>
      </c>
      <c r="AE22" s="211">
        <f t="shared" si="13"/>
        <v>18</v>
      </c>
      <c r="AF22" s="211">
        <f t="shared" si="13"/>
        <v>18</v>
      </c>
      <c r="AG22" s="211">
        <f t="shared" si="13"/>
        <v>18</v>
      </c>
      <c r="AH22" s="211">
        <f t="shared" si="13"/>
        <v>18</v>
      </c>
      <c r="AI22" s="212">
        <f t="shared" si="13"/>
        <v>8</v>
      </c>
      <c r="AJ22" s="212">
        <f t="shared" si="13"/>
        <v>0</v>
      </c>
      <c r="AK22" s="196"/>
      <c r="AL22" s="255">
        <f>AL20+AL21</f>
        <v>18</v>
      </c>
      <c r="AM22" s="196"/>
      <c r="AN22" s="256">
        <v>4</v>
      </c>
      <c r="AO22" s="257"/>
      <c r="AP22" s="213"/>
      <c r="AQ22" s="171"/>
      <c r="AR22" s="171"/>
      <c r="AS22" s="171"/>
    </row>
    <row r="23" spans="1:45" ht="15.5">
      <c r="A23" s="207"/>
      <c r="B23" s="207"/>
      <c r="C23" s="207"/>
      <c r="D23" s="207"/>
      <c r="E23" s="207"/>
      <c r="F23" s="207"/>
      <c r="G23" s="207"/>
      <c r="H23" s="207"/>
      <c r="I23" s="207"/>
      <c r="J23" s="207"/>
      <c r="K23" s="207"/>
      <c r="L23" s="207"/>
      <c r="M23" s="207"/>
      <c r="N23" s="207"/>
      <c r="O23" s="207"/>
      <c r="P23" s="207"/>
      <c r="Q23" s="207"/>
      <c r="R23" s="207"/>
      <c r="S23" s="207"/>
      <c r="T23" s="207"/>
      <c r="U23" s="207"/>
      <c r="V23" s="207"/>
      <c r="W23" s="207"/>
      <c r="X23" s="207"/>
      <c r="Y23" s="207"/>
      <c r="Z23" s="207"/>
      <c r="AA23" s="207"/>
      <c r="AB23" s="207"/>
      <c r="AC23" s="207"/>
      <c r="AD23" s="207"/>
      <c r="AE23" s="207"/>
      <c r="AF23" s="218"/>
      <c r="AG23" s="207"/>
      <c r="AH23" s="207"/>
      <c r="AI23" s="207"/>
      <c r="AJ23" s="207"/>
      <c r="AK23" s="207"/>
      <c r="AL23" s="207"/>
      <c r="AM23" s="207"/>
      <c r="AN23" s="207"/>
      <c r="AO23" s="207"/>
      <c r="AP23" s="207"/>
      <c r="AQ23" s="207"/>
      <c r="AR23" s="207"/>
      <c r="AS23" s="207"/>
    </row>
    <row r="24" spans="1:45" ht="48.75" customHeight="1">
      <c r="A24" s="207"/>
      <c r="B24" s="598" t="s">
        <v>19</v>
      </c>
      <c r="C24" s="598"/>
      <c r="D24" s="598"/>
      <c r="E24" s="598"/>
      <c r="F24" s="598"/>
      <c r="G24" s="598"/>
      <c r="H24" s="598"/>
      <c r="I24" s="598"/>
      <c r="J24" s="598"/>
      <c r="K24" s="598"/>
      <c r="L24" s="598"/>
      <c r="M24" s="598"/>
      <c r="N24" s="598"/>
      <c r="O24" s="598"/>
      <c r="P24" s="598"/>
      <c r="Q24" s="598"/>
      <c r="R24" s="598"/>
      <c r="S24" s="598"/>
      <c r="T24" s="598"/>
      <c r="U24" s="598"/>
      <c r="V24" s="598"/>
      <c r="W24" s="598"/>
      <c r="X24" s="598"/>
      <c r="Y24" s="598"/>
      <c r="Z24" s="598"/>
      <c r="AA24" s="598"/>
      <c r="AB24" s="598"/>
      <c r="AC24" s="598"/>
      <c r="AD24" s="598"/>
      <c r="AE24" s="598"/>
      <c r="AF24" s="598"/>
      <c r="AG24" s="598"/>
      <c r="AH24" s="598"/>
      <c r="AI24" s="598"/>
      <c r="AJ24" s="598"/>
      <c r="AK24" s="598"/>
      <c r="AL24" s="598"/>
      <c r="AM24" s="598"/>
      <c r="AN24" s="598"/>
      <c r="AO24" s="598"/>
      <c r="AP24" s="258"/>
      <c r="AQ24" s="258"/>
      <c r="AR24" s="258"/>
      <c r="AS24" s="216"/>
    </row>
    <row r="25" spans="1:45" ht="15.5">
      <c r="A25" s="207"/>
      <c r="B25" s="217"/>
      <c r="C25" s="217"/>
      <c r="D25" s="218"/>
      <c r="E25" s="218"/>
      <c r="F25" s="218"/>
      <c r="G25" s="218"/>
      <c r="H25" s="218"/>
      <c r="I25" s="218"/>
      <c r="J25" s="218"/>
      <c r="K25" s="218"/>
      <c r="L25" s="218"/>
      <c r="M25" s="218"/>
      <c r="N25" s="218"/>
      <c r="O25" s="218"/>
      <c r="P25" s="218"/>
      <c r="Q25" s="218"/>
      <c r="R25" s="218"/>
      <c r="S25" s="218"/>
      <c r="T25" s="218"/>
      <c r="U25" s="218"/>
      <c r="V25" s="218"/>
      <c r="W25" s="218"/>
      <c r="X25" s="218"/>
      <c r="Y25" s="218"/>
      <c r="Z25" s="218"/>
      <c r="AA25" s="218"/>
      <c r="AB25" s="218"/>
      <c r="AC25" s="218"/>
      <c r="AD25" s="218"/>
      <c r="AE25" s="218"/>
      <c r="AF25" s="218"/>
      <c r="AG25" s="218"/>
      <c r="AH25" s="218"/>
      <c r="AI25" s="218"/>
      <c r="AJ25" s="218"/>
      <c r="AK25" s="218"/>
      <c r="AL25" s="218"/>
      <c r="AM25" s="218"/>
      <c r="AN25" s="218"/>
      <c r="AO25" s="218"/>
      <c r="AP25" s="218"/>
      <c r="AQ25" s="218"/>
      <c r="AR25" s="218"/>
      <c r="AS25" s="213"/>
    </row>
    <row r="26" spans="1:45" ht="15.5">
      <c r="A26" s="207"/>
      <c r="B26" s="217"/>
      <c r="C26" s="217"/>
      <c r="D26" s="218"/>
      <c r="E26" s="218"/>
      <c r="F26" s="218"/>
      <c r="G26" s="218"/>
      <c r="H26" s="218"/>
      <c r="I26" s="218"/>
      <c r="J26" s="218"/>
      <c r="K26" s="218"/>
      <c r="L26" s="218"/>
      <c r="M26" s="218"/>
      <c r="N26" s="218"/>
      <c r="O26" s="218"/>
      <c r="P26" s="218"/>
      <c r="Q26" s="218"/>
      <c r="R26" s="218"/>
      <c r="S26" s="218"/>
      <c r="T26" s="218"/>
      <c r="U26" s="218"/>
      <c r="V26" s="218"/>
      <c r="W26" s="218"/>
      <c r="X26" s="218"/>
      <c r="Y26" s="218"/>
      <c r="Z26" s="218"/>
      <c r="AA26" s="218"/>
      <c r="AB26" s="218"/>
      <c r="AC26" s="218"/>
      <c r="AD26" s="218"/>
      <c r="AE26" s="218"/>
      <c r="AF26" s="218"/>
      <c r="AG26" s="218"/>
      <c r="AH26" s="218"/>
      <c r="AI26" s="218"/>
      <c r="AJ26" s="218"/>
      <c r="AK26" s="218"/>
      <c r="AL26" s="218"/>
      <c r="AM26" s="218"/>
      <c r="AN26" s="218"/>
      <c r="AO26" s="218"/>
      <c r="AP26" s="218"/>
      <c r="AQ26" s="218"/>
      <c r="AR26" s="218"/>
      <c r="AS26" s="213"/>
    </row>
    <row r="27" spans="1:45" ht="15.5">
      <c r="A27" s="207"/>
      <c r="B27" s="217"/>
      <c r="C27" s="217"/>
      <c r="D27" s="218"/>
      <c r="E27" s="218"/>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3"/>
    </row>
    <row r="28" spans="1:45" ht="18.75" customHeight="1">
      <c r="A28" s="207"/>
      <c r="B28" s="217"/>
      <c r="C28" s="217"/>
      <c r="D28" s="600" t="s">
        <v>20</v>
      </c>
      <c r="E28" s="601"/>
      <c r="F28" s="601"/>
      <c r="G28" s="601"/>
      <c r="H28" s="601"/>
      <c r="I28" s="601"/>
      <c r="J28" s="601"/>
      <c r="K28" s="601"/>
      <c r="L28" s="601"/>
      <c r="M28" s="601"/>
      <c r="N28" s="601"/>
      <c r="O28" s="601"/>
      <c r="P28" s="601"/>
      <c r="Q28" s="601"/>
      <c r="R28" s="601"/>
      <c r="S28" s="601"/>
      <c r="T28" s="601"/>
      <c r="U28" s="601"/>
      <c r="V28" s="602"/>
      <c r="W28" s="218"/>
      <c r="X28" s="218"/>
      <c r="Y28" s="218"/>
      <c r="Z28" s="219"/>
      <c r="AA28" s="219"/>
      <c r="AB28" s="219"/>
      <c r="AC28" s="219"/>
      <c r="AD28" s="219"/>
      <c r="AE28" s="219"/>
      <c r="AF28" s="219"/>
      <c r="AG28" s="219"/>
      <c r="AH28" s="219"/>
      <c r="AI28" s="219"/>
      <c r="AJ28" s="219"/>
      <c r="AK28" s="219"/>
      <c r="AL28" s="219"/>
      <c r="AM28" s="219"/>
      <c r="AN28" s="219"/>
      <c r="AO28" s="219"/>
      <c r="AP28" s="219"/>
      <c r="AQ28" s="219"/>
      <c r="AR28" s="219"/>
      <c r="AS28" s="219"/>
    </row>
    <row r="29" spans="1:45" ht="26.25" customHeight="1">
      <c r="A29" s="207"/>
      <c r="B29" s="217"/>
      <c r="C29" s="217"/>
      <c r="D29" s="603" t="s">
        <v>21</v>
      </c>
      <c r="E29" s="603"/>
      <c r="F29" s="603"/>
      <c r="G29" s="603"/>
      <c r="H29" s="603"/>
      <c r="I29" s="603"/>
      <c r="J29" s="603"/>
      <c r="K29" s="603"/>
      <c r="L29" s="603"/>
      <c r="M29" s="604" t="s">
        <v>22</v>
      </c>
      <c r="N29" s="604"/>
      <c r="O29" s="605" t="s">
        <v>23</v>
      </c>
      <c r="P29" s="606"/>
      <c r="Q29" s="605" t="s">
        <v>24</v>
      </c>
      <c r="R29" s="606"/>
      <c r="S29" s="604" t="s">
        <v>23</v>
      </c>
      <c r="T29" s="604"/>
      <c r="U29" s="603" t="s">
        <v>25</v>
      </c>
      <c r="V29" s="603"/>
      <c r="W29" s="218"/>
      <c r="X29" s="580" t="s">
        <v>72</v>
      </c>
      <c r="Y29" s="580"/>
      <c r="Z29" s="580"/>
      <c r="AA29" s="219"/>
      <c r="AB29" s="219"/>
      <c r="AC29" s="219"/>
      <c r="AD29" s="219"/>
      <c r="AE29" s="219"/>
      <c r="AF29" s="219"/>
      <c r="AG29" s="219"/>
      <c r="AH29" s="219"/>
      <c r="AI29" s="219"/>
      <c r="AJ29" s="219"/>
      <c r="AK29" s="219"/>
      <c r="AL29" s="219"/>
      <c r="AM29" s="219"/>
      <c r="AN29" s="219"/>
      <c r="AO29" s="219"/>
      <c r="AP29" s="219"/>
      <c r="AQ29" s="219"/>
      <c r="AR29" s="219"/>
      <c r="AS29" s="219"/>
    </row>
    <row r="30" spans="1:45" ht="18.5">
      <c r="A30" s="207"/>
      <c r="B30" s="217"/>
      <c r="C30" s="217"/>
      <c r="D30" s="220" t="s">
        <v>13</v>
      </c>
      <c r="E30" s="571" t="s">
        <v>27</v>
      </c>
      <c r="F30" s="571"/>
      <c r="G30" s="571"/>
      <c r="H30" s="571"/>
      <c r="I30" s="571"/>
      <c r="J30" s="571"/>
      <c r="K30" s="571"/>
      <c r="L30" s="571"/>
      <c r="M30" s="578">
        <v>0.29166666666666702</v>
      </c>
      <c r="N30" s="579"/>
      <c r="O30" s="567">
        <v>0.54166666666666696</v>
      </c>
      <c r="P30" s="568"/>
      <c r="Q30" s="567">
        <v>0.58333333333333304</v>
      </c>
      <c r="R30" s="568"/>
      <c r="S30" s="569">
        <v>0.70833333333333304</v>
      </c>
      <c r="T30" s="569"/>
      <c r="U30" s="597">
        <v>9</v>
      </c>
      <c r="V30" s="597"/>
      <c r="W30" s="218"/>
      <c r="X30" s="221">
        <f t="shared" ref="X30:X36" si="14">+O30-M30</f>
        <v>0.24999999999999994</v>
      </c>
      <c r="Y30" s="221">
        <f t="shared" ref="Y30:Y36" si="15">+S30-Q30</f>
        <v>0.125</v>
      </c>
      <c r="Z30" s="222">
        <f t="shared" ref="Z30:Z36" si="16">+Y30+X30</f>
        <v>0.37499999999999994</v>
      </c>
      <c r="AA30" s="180"/>
      <c r="AB30" s="180"/>
      <c r="AC30" s="180"/>
      <c r="AD30" s="180"/>
      <c r="AE30" s="180"/>
      <c r="AF30" s="180"/>
      <c r="AG30" s="180"/>
      <c r="AH30" s="180"/>
      <c r="AI30" s="180"/>
      <c r="AJ30" s="180"/>
      <c r="AK30" s="180"/>
      <c r="AL30" s="180"/>
      <c r="AM30" s="180"/>
      <c r="AN30" s="180"/>
      <c r="AO30" s="180"/>
      <c r="AP30" s="180"/>
      <c r="AQ30" s="180"/>
      <c r="AR30" s="180"/>
      <c r="AS30" s="180"/>
    </row>
    <row r="31" spans="1:45" ht="18.5">
      <c r="A31" s="207"/>
      <c r="B31" s="217"/>
      <c r="C31" s="217"/>
      <c r="D31" s="220" t="s">
        <v>17</v>
      </c>
      <c r="E31" s="571" t="s">
        <v>27</v>
      </c>
      <c r="F31" s="571"/>
      <c r="G31" s="571"/>
      <c r="H31" s="571"/>
      <c r="I31" s="571"/>
      <c r="J31" s="571"/>
      <c r="K31" s="571"/>
      <c r="L31" s="571"/>
      <c r="M31" s="578">
        <v>0.29166666666666702</v>
      </c>
      <c r="N31" s="579"/>
      <c r="O31" s="567">
        <v>0.5</v>
      </c>
      <c r="P31" s="568"/>
      <c r="Q31" s="567">
        <v>0.54166666666666696</v>
      </c>
      <c r="R31" s="568"/>
      <c r="S31" s="569">
        <v>0.70833333333333304</v>
      </c>
      <c r="T31" s="569"/>
      <c r="U31" s="597">
        <v>9</v>
      </c>
      <c r="V31" s="597"/>
      <c r="W31" s="218"/>
      <c r="X31" s="221">
        <f t="shared" si="14"/>
        <v>0.20833333333333298</v>
      </c>
      <c r="Y31" s="221">
        <f t="shared" si="15"/>
        <v>0.16666666666666607</v>
      </c>
      <c r="Z31" s="222">
        <f t="shared" si="16"/>
        <v>0.37499999999999906</v>
      </c>
      <c r="AA31" s="180"/>
      <c r="AB31" s="180"/>
      <c r="AC31" s="180"/>
      <c r="AD31" s="180"/>
      <c r="AE31" s="180"/>
      <c r="AF31" s="180"/>
      <c r="AG31" s="180"/>
      <c r="AH31" s="180"/>
      <c r="AI31" s="180"/>
      <c r="AJ31" s="180"/>
      <c r="AK31" s="180"/>
      <c r="AL31" s="180"/>
      <c r="AM31" s="180"/>
      <c r="AN31" s="180"/>
      <c r="AO31" s="180"/>
      <c r="AP31" s="180"/>
      <c r="AQ31" s="180"/>
      <c r="AR31" s="180"/>
      <c r="AS31" s="180"/>
    </row>
    <row r="32" spans="1:45" ht="18.5">
      <c r="A32" s="207"/>
      <c r="B32" s="217"/>
      <c r="C32" s="217"/>
      <c r="D32" s="220" t="s">
        <v>33</v>
      </c>
      <c r="E32" s="563" t="s">
        <v>27</v>
      </c>
      <c r="F32" s="564"/>
      <c r="G32" s="564"/>
      <c r="H32" s="564"/>
      <c r="I32" s="564"/>
      <c r="J32" s="564"/>
      <c r="K32" s="564"/>
      <c r="L32" s="565"/>
      <c r="M32" s="578">
        <v>0.29166666666666702</v>
      </c>
      <c r="N32" s="579"/>
      <c r="O32" s="567">
        <v>0.54166666666666696</v>
      </c>
      <c r="P32" s="568"/>
      <c r="Q32" s="567">
        <v>0.58333333333333304</v>
      </c>
      <c r="R32" s="568"/>
      <c r="S32" s="567">
        <v>0.66666666666666696</v>
      </c>
      <c r="T32" s="568"/>
      <c r="U32" s="597">
        <v>8</v>
      </c>
      <c r="V32" s="597"/>
      <c r="W32" s="218"/>
      <c r="X32" s="221">
        <f t="shared" si="14"/>
        <v>0.24999999999999994</v>
      </c>
      <c r="Y32" s="221">
        <f t="shared" si="15"/>
        <v>8.3333333333333925E-2</v>
      </c>
      <c r="Z32" s="222">
        <f t="shared" si="16"/>
        <v>0.33333333333333387</v>
      </c>
      <c r="AA32" s="180"/>
      <c r="AB32" s="180"/>
      <c r="AC32" s="180"/>
      <c r="AD32" s="180"/>
      <c r="AE32" s="180"/>
      <c r="AF32" s="180"/>
      <c r="AG32" s="180"/>
      <c r="AH32" s="180"/>
      <c r="AI32" s="180"/>
      <c r="AJ32" s="180"/>
      <c r="AK32" s="180"/>
      <c r="AL32" s="180"/>
      <c r="AM32" s="180"/>
      <c r="AN32" s="180"/>
      <c r="AO32" s="180"/>
      <c r="AP32" s="180"/>
      <c r="AQ32" s="180"/>
      <c r="AR32" s="180"/>
      <c r="AS32" s="180"/>
    </row>
    <row r="33" spans="1:45" ht="18.5">
      <c r="A33" s="207"/>
      <c r="B33" s="217"/>
      <c r="C33" s="217"/>
      <c r="D33" s="220" t="s">
        <v>32</v>
      </c>
      <c r="E33" s="563" t="s">
        <v>27</v>
      </c>
      <c r="F33" s="564"/>
      <c r="G33" s="564"/>
      <c r="H33" s="564"/>
      <c r="I33" s="564"/>
      <c r="J33" s="564"/>
      <c r="K33" s="564"/>
      <c r="L33" s="565"/>
      <c r="M33" s="578">
        <v>0.29166666666666702</v>
      </c>
      <c r="N33" s="579"/>
      <c r="O33" s="567">
        <v>0.5</v>
      </c>
      <c r="P33" s="568"/>
      <c r="Q33" s="567">
        <v>0.54166666666666696</v>
      </c>
      <c r="R33" s="568"/>
      <c r="S33" s="567">
        <v>0.66666666666666696</v>
      </c>
      <c r="T33" s="568"/>
      <c r="U33" s="597">
        <v>8</v>
      </c>
      <c r="V33" s="597"/>
      <c r="W33" s="218"/>
      <c r="X33" s="221">
        <f t="shared" si="14"/>
        <v>0.20833333333333298</v>
      </c>
      <c r="Y33" s="221">
        <f t="shared" si="15"/>
        <v>0.125</v>
      </c>
      <c r="Z33" s="222">
        <f t="shared" si="16"/>
        <v>0.33333333333333298</v>
      </c>
      <c r="AA33" s="180"/>
      <c r="AB33" s="180"/>
      <c r="AC33" s="180"/>
      <c r="AD33" s="180"/>
      <c r="AE33" s="180"/>
      <c r="AF33" s="180"/>
      <c r="AG33" s="180"/>
      <c r="AH33" s="180"/>
      <c r="AI33" s="180"/>
      <c r="AJ33" s="180"/>
      <c r="AK33" s="180"/>
      <c r="AL33" s="180"/>
      <c r="AM33" s="180"/>
      <c r="AN33" s="180"/>
      <c r="AO33" s="180"/>
      <c r="AP33" s="180"/>
      <c r="AQ33" s="180"/>
      <c r="AR33" s="180"/>
      <c r="AS33" s="180"/>
    </row>
    <row r="34" spans="1:45" ht="18.5">
      <c r="A34" s="207"/>
      <c r="B34" s="217"/>
      <c r="C34" s="217"/>
      <c r="D34" s="220" t="s">
        <v>73</v>
      </c>
      <c r="E34" s="563" t="s">
        <v>27</v>
      </c>
      <c r="F34" s="564"/>
      <c r="G34" s="564"/>
      <c r="H34" s="564"/>
      <c r="I34" s="564"/>
      <c r="J34" s="564"/>
      <c r="K34" s="564"/>
      <c r="L34" s="565"/>
      <c r="M34" s="578">
        <v>0.33333333333333298</v>
      </c>
      <c r="N34" s="579"/>
      <c r="O34" s="567">
        <v>0.5</v>
      </c>
      <c r="P34" s="568"/>
      <c r="Q34" s="567">
        <v>0.54166666666666696</v>
      </c>
      <c r="R34" s="568"/>
      <c r="S34" s="567">
        <v>0.66666666666666663</v>
      </c>
      <c r="T34" s="568"/>
      <c r="U34" s="597">
        <v>7</v>
      </c>
      <c r="V34" s="597"/>
      <c r="W34" s="218"/>
      <c r="X34" s="221">
        <f t="shared" si="14"/>
        <v>0.16666666666666702</v>
      </c>
      <c r="Y34" s="221">
        <f t="shared" si="15"/>
        <v>0.12499999999999967</v>
      </c>
      <c r="Z34" s="222">
        <f t="shared" si="16"/>
        <v>0.29166666666666669</v>
      </c>
      <c r="AA34" s="180"/>
      <c r="AB34" s="180"/>
      <c r="AC34" s="180"/>
      <c r="AD34" s="180"/>
      <c r="AE34" s="180"/>
      <c r="AF34" s="180"/>
      <c r="AG34" s="180"/>
      <c r="AH34" s="180"/>
      <c r="AI34" s="180"/>
      <c r="AJ34" s="180"/>
      <c r="AK34" s="180"/>
      <c r="AL34" s="180"/>
      <c r="AM34" s="180"/>
      <c r="AN34" s="180"/>
      <c r="AO34" s="180"/>
      <c r="AP34" s="180"/>
      <c r="AQ34" s="180"/>
      <c r="AR34" s="180"/>
      <c r="AS34" s="180"/>
    </row>
    <row r="35" spans="1:45" ht="18.5">
      <c r="A35" s="207"/>
      <c r="B35" s="217"/>
      <c r="C35" s="217"/>
      <c r="D35" s="220" t="s">
        <v>8</v>
      </c>
      <c r="E35" s="571"/>
      <c r="F35" s="571"/>
      <c r="G35" s="571"/>
      <c r="H35" s="571"/>
      <c r="I35" s="571"/>
      <c r="J35" s="571"/>
      <c r="K35" s="571"/>
      <c r="L35" s="571"/>
      <c r="M35" s="571"/>
      <c r="N35" s="571"/>
      <c r="O35" s="571"/>
      <c r="P35" s="571"/>
      <c r="Q35" s="571"/>
      <c r="R35" s="571"/>
      <c r="S35" s="571"/>
      <c r="T35" s="571"/>
      <c r="U35" s="572">
        <v>0</v>
      </c>
      <c r="V35" s="572"/>
      <c r="W35" s="218"/>
      <c r="X35" s="221">
        <f t="shared" si="14"/>
        <v>0</v>
      </c>
      <c r="Y35" s="221">
        <f t="shared" si="15"/>
        <v>0</v>
      </c>
      <c r="Z35" s="222">
        <f t="shared" si="16"/>
        <v>0</v>
      </c>
      <c r="AA35" s="180"/>
      <c r="AB35" s="180"/>
      <c r="AC35" s="180"/>
      <c r="AD35" s="180"/>
      <c r="AE35" s="180"/>
      <c r="AF35" s="180"/>
      <c r="AG35" s="180"/>
      <c r="AH35" s="180"/>
      <c r="AI35" s="180"/>
      <c r="AJ35" s="180"/>
      <c r="AK35" s="180"/>
      <c r="AL35" s="180"/>
      <c r="AM35" s="180"/>
      <c r="AN35" s="180"/>
      <c r="AO35" s="180"/>
      <c r="AP35" s="180"/>
      <c r="AQ35" s="180"/>
      <c r="AR35" s="180"/>
      <c r="AS35" s="180"/>
    </row>
    <row r="36" spans="1:45" ht="18.5">
      <c r="A36" s="207"/>
      <c r="B36" s="217"/>
      <c r="C36" s="217"/>
      <c r="D36" s="224" t="s">
        <v>15</v>
      </c>
      <c r="E36" s="573" t="s">
        <v>29</v>
      </c>
      <c r="F36" s="574"/>
      <c r="G36" s="574"/>
      <c r="H36" s="574"/>
      <c r="I36" s="574"/>
      <c r="J36" s="574"/>
      <c r="K36" s="574"/>
      <c r="L36" s="574"/>
      <c r="M36" s="574"/>
      <c r="N36" s="574"/>
      <c r="O36" s="574"/>
      <c r="P36" s="574"/>
      <c r="Q36" s="574"/>
      <c r="R36" s="574"/>
      <c r="S36" s="574"/>
      <c r="T36" s="575"/>
      <c r="U36" s="576">
        <v>3</v>
      </c>
      <c r="V36" s="576"/>
      <c r="W36" s="218"/>
      <c r="X36" s="221">
        <f t="shared" si="14"/>
        <v>0</v>
      </c>
      <c r="Y36" s="221">
        <f t="shared" si="15"/>
        <v>0</v>
      </c>
      <c r="Z36" s="222">
        <f t="shared" si="16"/>
        <v>0</v>
      </c>
      <c r="AA36" s="180"/>
      <c r="AB36" s="180"/>
      <c r="AC36" s="180"/>
      <c r="AD36" s="180"/>
      <c r="AE36" s="180"/>
      <c r="AF36" s="180"/>
      <c r="AG36" s="180"/>
      <c r="AH36" s="180"/>
      <c r="AI36" s="180"/>
      <c r="AJ36" s="180"/>
      <c r="AK36" s="180"/>
      <c r="AL36" s="180"/>
      <c r="AM36" s="180"/>
      <c r="AN36" s="180"/>
      <c r="AO36" s="180"/>
      <c r="AP36" s="180"/>
      <c r="AQ36" s="180"/>
      <c r="AR36" s="180"/>
      <c r="AS36" s="180"/>
    </row>
    <row r="37" spans="1:45" ht="15.5">
      <c r="A37" s="207"/>
      <c r="B37" s="217"/>
      <c r="C37" s="217"/>
      <c r="D37" s="225"/>
      <c r="E37" s="226"/>
      <c r="F37" s="226"/>
      <c r="G37" s="226"/>
      <c r="H37" s="226"/>
      <c r="I37" s="226"/>
      <c r="J37" s="226"/>
      <c r="K37" s="226"/>
      <c r="L37" s="226"/>
      <c r="M37" s="226"/>
      <c r="N37" s="226"/>
      <c r="O37" s="226"/>
      <c r="P37" s="226"/>
      <c r="Q37" s="226"/>
      <c r="R37" s="226"/>
      <c r="S37" s="226"/>
      <c r="T37" s="226"/>
      <c r="U37" s="227"/>
      <c r="V37" s="227"/>
      <c r="W37" s="228"/>
      <c r="X37" s="228"/>
      <c r="Y37" s="228"/>
      <c r="Z37" s="228"/>
      <c r="AA37" s="228"/>
      <c r="AB37" s="228"/>
      <c r="AC37" s="228"/>
      <c r="AD37" s="228"/>
      <c r="AE37" s="228"/>
      <c r="AF37" s="228"/>
      <c r="AG37" s="228"/>
      <c r="AH37" s="228"/>
      <c r="AI37" s="228"/>
      <c r="AJ37" s="228"/>
      <c r="AK37" s="228"/>
      <c r="AL37" s="228"/>
      <c r="AM37" s="228"/>
      <c r="AN37" s="228"/>
      <c r="AO37" s="228"/>
      <c r="AP37" s="228"/>
      <c r="AQ37" s="228"/>
      <c r="AR37" s="228"/>
      <c r="AS37" s="207"/>
    </row>
    <row r="38" spans="1:45" ht="15.5">
      <c r="A38" s="207"/>
      <c r="B38" s="217"/>
      <c r="C38" s="217"/>
      <c r="D38" s="225"/>
      <c r="E38" s="226"/>
      <c r="F38" s="226"/>
      <c r="G38" s="226"/>
      <c r="H38" s="226"/>
      <c r="I38" s="226"/>
      <c r="J38" s="226"/>
      <c r="K38" s="226"/>
      <c r="L38" s="226"/>
      <c r="M38" s="226"/>
      <c r="N38" s="226"/>
      <c r="O38" s="226"/>
      <c r="P38" s="226"/>
      <c r="Q38" s="226"/>
      <c r="R38" s="226"/>
      <c r="S38" s="226"/>
      <c r="T38" s="226"/>
      <c r="U38" s="227"/>
      <c r="V38" s="227"/>
      <c r="W38" s="228"/>
      <c r="X38" s="228"/>
      <c r="Y38" s="228"/>
      <c r="Z38" s="228"/>
      <c r="AA38" s="228"/>
      <c r="AB38" s="228"/>
      <c r="AC38" s="228"/>
      <c r="AD38" s="228"/>
      <c r="AE38" s="228"/>
      <c r="AF38" s="228"/>
      <c r="AG38" s="228"/>
      <c r="AH38" s="228"/>
      <c r="AI38" s="228"/>
      <c r="AJ38" s="228"/>
      <c r="AK38" s="228"/>
      <c r="AL38" s="228"/>
      <c r="AM38" s="228"/>
      <c r="AN38" s="228"/>
      <c r="AO38" s="228"/>
      <c r="AP38" s="228"/>
      <c r="AQ38" s="228"/>
      <c r="AR38" s="228"/>
      <c r="AS38" s="207"/>
    </row>
    <row r="39" spans="1:45" ht="15.5">
      <c r="A39" s="207"/>
      <c r="B39" s="217"/>
      <c r="C39" s="217"/>
      <c r="D39" s="225"/>
      <c r="E39" s="226"/>
      <c r="F39" s="226"/>
      <c r="G39" s="226"/>
      <c r="H39" s="226"/>
      <c r="I39" s="226"/>
      <c r="J39" s="226"/>
      <c r="K39" s="226"/>
      <c r="L39" s="226"/>
      <c r="M39" s="226"/>
      <c r="N39" s="226"/>
      <c r="O39" s="226"/>
      <c r="P39" s="226"/>
      <c r="Q39" s="226"/>
      <c r="R39" s="226"/>
      <c r="S39" s="226"/>
      <c r="T39" s="226"/>
      <c r="U39" s="227"/>
      <c r="V39" s="227"/>
      <c r="W39" s="228"/>
      <c r="X39" s="228"/>
      <c r="Y39" s="228"/>
      <c r="Z39" s="228"/>
      <c r="AA39" s="228"/>
      <c r="AB39" s="228"/>
      <c r="AC39" s="228"/>
      <c r="AD39" s="228"/>
      <c r="AE39" s="228"/>
      <c r="AF39" s="228"/>
      <c r="AG39" s="228"/>
      <c r="AH39" s="228"/>
      <c r="AI39" s="228"/>
      <c r="AJ39" s="228"/>
      <c r="AK39" s="228"/>
      <c r="AL39" s="228"/>
      <c r="AM39" s="228"/>
      <c r="AN39" s="228"/>
      <c r="AO39" s="228"/>
      <c r="AP39" s="228"/>
      <c r="AQ39" s="228"/>
      <c r="AR39" s="228"/>
      <c r="AS39" s="207"/>
    </row>
    <row r="40" spans="1:45" ht="15.5">
      <c r="A40" s="207"/>
      <c r="B40" s="217"/>
      <c r="C40" s="217"/>
      <c r="D40" s="225"/>
      <c r="E40" s="226"/>
      <c r="F40" s="226"/>
      <c r="G40" s="226"/>
      <c r="H40" s="226"/>
      <c r="I40" s="226"/>
      <c r="J40" s="226"/>
      <c r="K40" s="226"/>
      <c r="L40" s="226"/>
      <c r="M40" s="226"/>
      <c r="N40" s="226"/>
      <c r="O40" s="226"/>
      <c r="P40" s="226"/>
      <c r="Q40" s="226"/>
      <c r="R40" s="226"/>
      <c r="S40" s="226"/>
      <c r="T40" s="226"/>
      <c r="U40" s="227"/>
      <c r="V40" s="227"/>
      <c r="W40" s="228"/>
      <c r="X40" s="228"/>
      <c r="Y40" s="228"/>
      <c r="Z40" s="228"/>
      <c r="AA40" s="228"/>
      <c r="AB40" s="228"/>
      <c r="AC40" s="228"/>
      <c r="AD40" s="228"/>
      <c r="AE40" s="228"/>
      <c r="AF40" s="228"/>
      <c r="AG40" s="228"/>
      <c r="AH40" s="228"/>
      <c r="AI40" s="228"/>
      <c r="AJ40" s="228"/>
      <c r="AK40" s="228"/>
      <c r="AL40" s="228"/>
      <c r="AM40" s="228"/>
      <c r="AN40" s="228"/>
      <c r="AO40" s="228"/>
      <c r="AP40" s="228"/>
      <c r="AQ40" s="228"/>
      <c r="AR40" s="228"/>
      <c r="AS40" s="207"/>
    </row>
    <row r="41" spans="1:45" ht="15.5">
      <c r="A41" s="207"/>
      <c r="B41" s="217"/>
      <c r="C41" s="217"/>
      <c r="D41" s="225"/>
      <c r="E41" s="226"/>
      <c r="F41" s="226"/>
      <c r="G41" s="226"/>
      <c r="H41" s="226"/>
      <c r="I41" s="226"/>
      <c r="J41" s="226"/>
      <c r="K41" s="226"/>
      <c r="L41" s="226"/>
      <c r="M41" s="226"/>
      <c r="N41" s="226"/>
      <c r="O41" s="226"/>
      <c r="P41" s="226"/>
      <c r="Q41" s="226"/>
      <c r="R41" s="226"/>
      <c r="S41" s="226"/>
      <c r="T41" s="226"/>
      <c r="U41" s="227"/>
      <c r="V41" s="227"/>
      <c r="W41" s="228"/>
      <c r="X41" s="228"/>
      <c r="Y41" s="228"/>
      <c r="Z41" s="228"/>
      <c r="AA41" s="228"/>
      <c r="AB41" s="228"/>
      <c r="AC41" s="228"/>
      <c r="AD41" s="228"/>
      <c r="AE41" s="228"/>
      <c r="AF41" s="228"/>
      <c r="AG41" s="228"/>
      <c r="AH41" s="228"/>
      <c r="AI41" s="228"/>
      <c r="AJ41" s="228"/>
      <c r="AK41" s="228"/>
      <c r="AL41" s="228"/>
      <c r="AM41" s="228"/>
      <c r="AN41" s="228"/>
      <c r="AO41" s="228"/>
      <c r="AP41" s="228"/>
      <c r="AQ41" s="228"/>
      <c r="AR41" s="228"/>
      <c r="AS41" s="207"/>
    </row>
    <row r="42" spans="1:45" ht="15.5">
      <c r="A42" s="207"/>
      <c r="B42" s="217"/>
      <c r="C42" s="217"/>
      <c r="D42" s="225"/>
      <c r="E42" s="226"/>
      <c r="F42" s="226"/>
      <c r="G42" s="226"/>
      <c r="H42" s="226"/>
      <c r="I42" s="226"/>
      <c r="J42" s="226"/>
      <c r="K42" s="226"/>
      <c r="L42" s="226"/>
      <c r="M42" s="226"/>
      <c r="N42" s="226"/>
      <c r="O42" s="226"/>
      <c r="P42" s="226"/>
      <c r="Q42" s="226"/>
      <c r="R42" s="226"/>
      <c r="S42" s="226"/>
      <c r="T42" s="226"/>
      <c r="U42" s="227"/>
      <c r="V42" s="227"/>
      <c r="W42" s="228"/>
      <c r="X42" s="228"/>
      <c r="Y42" s="228"/>
      <c r="Z42" s="228"/>
      <c r="AA42" s="228"/>
      <c r="AB42" s="228"/>
      <c r="AC42" s="228"/>
      <c r="AD42" s="228"/>
      <c r="AE42" s="228"/>
      <c r="AF42" s="228"/>
      <c r="AG42" s="228"/>
      <c r="AH42" s="228"/>
      <c r="AI42" s="228"/>
      <c r="AJ42" s="228"/>
      <c r="AK42" s="228"/>
      <c r="AL42" s="228"/>
      <c r="AM42" s="228"/>
      <c r="AN42" s="228"/>
      <c r="AO42" s="228"/>
      <c r="AP42" s="228"/>
      <c r="AQ42" s="228"/>
      <c r="AR42" s="228"/>
      <c r="AS42" s="207"/>
    </row>
    <row r="43" spans="1:45" ht="15.5">
      <c r="A43" s="207"/>
      <c r="B43" s="217"/>
      <c r="C43" s="217"/>
      <c r="D43" s="225"/>
      <c r="E43" s="226"/>
      <c r="F43" s="226"/>
      <c r="G43" s="226"/>
      <c r="H43" s="226"/>
      <c r="I43" s="226"/>
      <c r="J43" s="226"/>
      <c r="K43" s="226"/>
      <c r="L43" s="226"/>
      <c r="M43" s="226"/>
      <c r="N43" s="226"/>
      <c r="O43" s="226"/>
      <c r="P43" s="226"/>
      <c r="Q43" s="226"/>
      <c r="R43" s="226"/>
      <c r="S43" s="226"/>
      <c r="T43" s="226"/>
      <c r="U43" s="227"/>
      <c r="V43" s="227"/>
      <c r="W43" s="228"/>
      <c r="X43" s="228"/>
      <c r="Y43" s="228"/>
      <c r="Z43" s="228"/>
      <c r="AA43" s="228"/>
      <c r="AB43" s="228"/>
      <c r="AC43" s="228"/>
      <c r="AD43" s="228"/>
      <c r="AE43" s="228"/>
      <c r="AF43" s="228"/>
      <c r="AG43" s="228"/>
      <c r="AH43" s="228"/>
      <c r="AI43" s="228"/>
      <c r="AJ43" s="228"/>
      <c r="AK43" s="228"/>
      <c r="AL43" s="228"/>
      <c r="AM43" s="228"/>
      <c r="AN43" s="228"/>
      <c r="AO43" s="228"/>
      <c r="AP43" s="228"/>
      <c r="AQ43" s="228"/>
      <c r="AR43" s="228"/>
      <c r="AS43" s="207"/>
    </row>
    <row r="44" spans="1:45" ht="15.5">
      <c r="A44" s="207"/>
      <c r="B44" s="217"/>
      <c r="C44" s="217"/>
      <c r="D44" s="225"/>
      <c r="E44" s="226"/>
      <c r="F44" s="226"/>
      <c r="G44" s="226"/>
      <c r="H44" s="226"/>
      <c r="I44" s="226"/>
      <c r="J44" s="226"/>
      <c r="K44" s="226"/>
      <c r="L44" s="226"/>
      <c r="M44" s="226"/>
      <c r="N44" s="226"/>
      <c r="O44" s="226"/>
      <c r="P44" s="226"/>
      <c r="Q44" s="226"/>
      <c r="R44" s="226"/>
      <c r="S44" s="226"/>
      <c r="T44" s="226"/>
      <c r="U44" s="227"/>
      <c r="V44" s="227"/>
      <c r="W44" s="228"/>
      <c r="X44" s="228"/>
      <c r="Y44" s="228"/>
      <c r="Z44" s="228"/>
      <c r="AA44" s="228"/>
      <c r="AB44" s="228"/>
      <c r="AC44" s="228"/>
      <c r="AD44" s="228"/>
      <c r="AE44" s="228"/>
      <c r="AF44" s="228"/>
      <c r="AG44" s="228"/>
      <c r="AH44" s="228"/>
      <c r="AI44" s="228"/>
      <c r="AJ44" s="228"/>
      <c r="AK44" s="228"/>
      <c r="AL44" s="228"/>
      <c r="AM44" s="228"/>
      <c r="AN44" s="228"/>
      <c r="AO44" s="228"/>
      <c r="AP44" s="228"/>
      <c r="AQ44" s="228"/>
      <c r="AR44" s="228"/>
      <c r="AS44" s="207"/>
    </row>
    <row r="45" spans="1:45" ht="15.5">
      <c r="A45" s="177"/>
      <c r="B45" s="177"/>
      <c r="C45" s="177"/>
      <c r="D45" s="207"/>
      <c r="E45" s="229"/>
      <c r="F45" s="229"/>
      <c r="G45" s="229"/>
      <c r="H45" s="229"/>
      <c r="I45" s="229"/>
      <c r="J45" s="229"/>
      <c r="K45" s="229"/>
      <c r="L45" s="229"/>
      <c r="M45" s="177"/>
      <c r="N45" s="177"/>
      <c r="O45" s="177"/>
      <c r="P45" s="177"/>
      <c r="Q45" s="177"/>
      <c r="R45" s="177"/>
      <c r="S45" s="177"/>
      <c r="T45" s="177"/>
      <c r="U45" s="229"/>
      <c r="V45" s="182"/>
      <c r="W45" s="177"/>
      <c r="X45" s="177"/>
      <c r="Y45" s="177"/>
      <c r="Z45" s="230"/>
      <c r="AA45" s="230"/>
      <c r="AB45" s="230"/>
      <c r="AC45" s="230"/>
      <c r="AD45" s="230"/>
      <c r="AE45" s="230"/>
      <c r="AF45" s="230"/>
      <c r="AG45" s="230"/>
      <c r="AH45" s="230"/>
      <c r="AI45" s="230"/>
      <c r="AJ45" s="230"/>
      <c r="AK45" s="230"/>
      <c r="AL45" s="230"/>
      <c r="AM45" s="230"/>
      <c r="AN45" s="230"/>
      <c r="AO45" s="230"/>
      <c r="AP45" s="177"/>
      <c r="AQ45" s="177"/>
      <c r="AR45" s="177"/>
      <c r="AS45" s="177"/>
    </row>
    <row r="46" spans="1:45" ht="15.5">
      <c r="A46" s="231"/>
      <c r="B46" s="232"/>
      <c r="C46" s="233"/>
      <c r="D46" s="231"/>
      <c r="E46" s="231"/>
      <c r="F46" s="231"/>
      <c r="G46" s="231"/>
      <c r="H46" s="231"/>
      <c r="I46" s="231"/>
      <c r="J46" s="231"/>
      <c r="K46" s="231"/>
      <c r="L46" s="231"/>
      <c r="M46" s="234"/>
      <c r="N46" s="234"/>
      <c r="O46" s="234"/>
      <c r="P46" s="234"/>
      <c r="Q46" s="234"/>
      <c r="R46" s="234"/>
      <c r="S46" s="234"/>
      <c r="T46" s="234"/>
      <c r="U46" s="231"/>
      <c r="V46" s="231"/>
      <c r="W46" s="231"/>
      <c r="X46" s="231"/>
      <c r="Y46" s="235"/>
      <c r="Z46" s="230"/>
      <c r="AA46" s="230"/>
      <c r="AB46" s="230"/>
      <c r="AC46" s="230"/>
      <c r="AD46" s="236"/>
      <c r="AE46" s="236"/>
      <c r="AF46" s="236"/>
      <c r="AG46" s="236"/>
      <c r="AH46" s="236"/>
      <c r="AI46" s="236"/>
      <c r="AJ46" s="236"/>
      <c r="AK46" s="236"/>
      <c r="AL46" s="236"/>
      <c r="AM46" s="236"/>
      <c r="AN46" s="236"/>
      <c r="AO46" s="230"/>
      <c r="AP46" s="231"/>
      <c r="AQ46" s="231"/>
      <c r="AR46" s="231"/>
      <c r="AS46" s="231"/>
    </row>
    <row r="47" spans="1:45" ht="18.5">
      <c r="A47" s="237"/>
      <c r="B47" s="238" t="s">
        <v>30</v>
      </c>
      <c r="C47" s="238"/>
      <c r="D47" s="237"/>
      <c r="E47" s="237"/>
      <c r="F47" s="237"/>
      <c r="G47" s="237"/>
      <c r="H47" s="237"/>
      <c r="I47" s="239"/>
      <c r="J47" s="239"/>
      <c r="K47" s="239"/>
      <c r="L47" s="239"/>
      <c r="M47" s="240" t="s">
        <v>76</v>
      </c>
      <c r="N47" s="239"/>
      <c r="O47" s="239"/>
      <c r="P47" s="239"/>
      <c r="Q47" s="239"/>
      <c r="R47" s="239"/>
      <c r="S47" s="239"/>
      <c r="T47" s="231"/>
      <c r="U47" s="231"/>
      <c r="V47" s="231"/>
      <c r="W47" s="239"/>
      <c r="X47" s="239"/>
      <c r="Y47" s="235"/>
      <c r="Z47" s="607" t="s">
        <v>101</v>
      </c>
      <c r="AA47" s="607"/>
      <c r="AB47" s="607"/>
      <c r="AC47" s="607"/>
      <c r="AD47" s="577"/>
      <c r="AE47" s="577"/>
      <c r="AF47" s="577"/>
      <c r="AG47" s="577"/>
      <c r="AH47" s="577"/>
      <c r="AI47" s="577"/>
      <c r="AJ47" s="577"/>
      <c r="AK47" s="577"/>
      <c r="AL47" s="577"/>
      <c r="AM47" s="577"/>
      <c r="AN47" s="577"/>
      <c r="AO47" s="607"/>
      <c r="AR47" s="239"/>
      <c r="AS47" s="237"/>
    </row>
    <row r="48" spans="1:45" ht="18.5">
      <c r="A48" s="231"/>
      <c r="B48" s="241" t="s">
        <v>31</v>
      </c>
      <c r="C48" s="241"/>
      <c r="D48" s="231"/>
      <c r="E48" s="231"/>
      <c r="F48" s="231"/>
      <c r="G48" s="231"/>
      <c r="H48" s="231"/>
      <c r="I48" s="231"/>
      <c r="J48" s="231"/>
      <c r="K48" s="231"/>
      <c r="L48" s="231"/>
      <c r="M48" s="241" t="s">
        <v>86</v>
      </c>
      <c r="N48" s="231"/>
      <c r="O48" s="231"/>
      <c r="P48" s="231"/>
      <c r="Q48" s="231"/>
      <c r="R48" s="239"/>
      <c r="S48" s="239"/>
      <c r="T48" s="231"/>
      <c r="U48" s="231"/>
      <c r="V48" s="231"/>
      <c r="W48" s="231"/>
      <c r="X48" s="231"/>
      <c r="Y48" s="242"/>
      <c r="Z48" s="562" t="s">
        <v>99</v>
      </c>
      <c r="AA48" s="562"/>
      <c r="AB48" s="562"/>
      <c r="AC48" s="562"/>
      <c r="AD48" s="562"/>
      <c r="AE48" s="562"/>
      <c r="AF48" s="562"/>
      <c r="AG48" s="562"/>
      <c r="AH48" s="562"/>
      <c r="AI48" s="562"/>
      <c r="AJ48" s="562"/>
      <c r="AK48" s="562"/>
      <c r="AL48" s="562"/>
      <c r="AM48" s="562"/>
      <c r="AN48" s="562"/>
      <c r="AO48" s="562"/>
      <c r="AR48" s="231"/>
      <c r="AS48" s="231"/>
    </row>
    <row r="49" spans="5:21">
      <c r="E49" s="172"/>
      <c r="F49" s="172"/>
      <c r="G49" s="172"/>
      <c r="H49" s="172"/>
      <c r="I49" s="172"/>
      <c r="S49" s="172"/>
      <c r="T49" s="172"/>
      <c r="U49" s="172"/>
    </row>
  </sheetData>
  <mergeCells count="58">
    <mergeCell ref="C11:AN11"/>
    <mergeCell ref="B2:B5"/>
    <mergeCell ref="D2:AN5"/>
    <mergeCell ref="AQ3:AR3"/>
    <mergeCell ref="AQ4:AR4"/>
    <mergeCell ref="AQ5:AR5"/>
    <mergeCell ref="B12:B13"/>
    <mergeCell ref="AN12:AN13"/>
    <mergeCell ref="AO12:AO13"/>
    <mergeCell ref="C17:AN17"/>
    <mergeCell ref="B18:B19"/>
    <mergeCell ref="AN18:AN19"/>
    <mergeCell ref="AO18:AO19"/>
    <mergeCell ref="B24:AO24"/>
    <mergeCell ref="D28:V28"/>
    <mergeCell ref="D29:L29"/>
    <mergeCell ref="M29:N29"/>
    <mergeCell ref="O29:P29"/>
    <mergeCell ref="Q29:R29"/>
    <mergeCell ref="S29:T29"/>
    <mergeCell ref="U29:V29"/>
    <mergeCell ref="X29:Z29"/>
    <mergeCell ref="U31:V31"/>
    <mergeCell ref="E30:L30"/>
    <mergeCell ref="M30:N30"/>
    <mergeCell ref="O30:P30"/>
    <mergeCell ref="Q30:R30"/>
    <mergeCell ref="S30:T30"/>
    <mergeCell ref="U30:V30"/>
    <mergeCell ref="E31:L31"/>
    <mergeCell ref="M31:N31"/>
    <mergeCell ref="O31:P31"/>
    <mergeCell ref="Q31:R31"/>
    <mergeCell ref="S31:T31"/>
    <mergeCell ref="U33:V33"/>
    <mergeCell ref="E32:L32"/>
    <mergeCell ref="M32:N32"/>
    <mergeCell ref="O32:P32"/>
    <mergeCell ref="Q32:R32"/>
    <mergeCell ref="S32:T32"/>
    <mergeCell ref="U32:V32"/>
    <mergeCell ref="E33:L33"/>
    <mergeCell ref="M33:N33"/>
    <mergeCell ref="O33:P33"/>
    <mergeCell ref="Q33:R33"/>
    <mergeCell ref="S33:T33"/>
    <mergeCell ref="Z48:AO48"/>
    <mergeCell ref="E34:L34"/>
    <mergeCell ref="M34:N34"/>
    <mergeCell ref="O34:P34"/>
    <mergeCell ref="Q34:R34"/>
    <mergeCell ref="S34:T34"/>
    <mergeCell ref="U34:V34"/>
    <mergeCell ref="E35:T35"/>
    <mergeCell ref="U35:V35"/>
    <mergeCell ref="E36:T36"/>
    <mergeCell ref="U36:V36"/>
    <mergeCell ref="Z47:AO47"/>
  </mergeCells>
  <conditionalFormatting sqref="C14:AN15">
    <cfRule type="containsText" dxfId="17" priority="9" operator="containsText" text="L">
      <formula>NOT(ISERROR(SEARCH("L",C14)))</formula>
    </cfRule>
  </conditionalFormatting>
  <conditionalFormatting sqref="U13">
    <cfRule type="containsText" dxfId="16" priority="8" operator="containsText" text="L">
      <formula>NOT(ISERROR(SEARCH("L",U13)))</formula>
    </cfRule>
  </conditionalFormatting>
  <conditionalFormatting sqref="U19">
    <cfRule type="containsText" dxfId="15" priority="4" operator="containsText" text="L">
      <formula>NOT(ISERROR(SEARCH("L",U19)))</formula>
    </cfRule>
  </conditionalFormatting>
  <conditionalFormatting sqref="AC13">
    <cfRule type="containsText" dxfId="14" priority="7" operator="containsText" text="L">
      <formula>NOT(ISERROR(SEARCH("L",AC13)))</formula>
    </cfRule>
  </conditionalFormatting>
  <conditionalFormatting sqref="AC19">
    <cfRule type="containsText" dxfId="13" priority="3" operator="containsText" text="L">
      <formula>NOT(ISERROR(SEARCH("L",AC19)))</formula>
    </cfRule>
  </conditionalFormatting>
  <conditionalFormatting sqref="AK13">
    <cfRule type="containsText" dxfId="12" priority="6" operator="containsText" text="L">
      <formula>NOT(ISERROR(SEARCH("L",AK13)))</formula>
    </cfRule>
  </conditionalFormatting>
  <conditionalFormatting sqref="AK19">
    <cfRule type="containsText" dxfId="11" priority="2" operator="containsText" text="L">
      <formula>NOT(ISERROR(SEARCH("L",AK19)))</formula>
    </cfRule>
  </conditionalFormatting>
  <conditionalFormatting sqref="AM13">
    <cfRule type="containsText" dxfId="10" priority="5" operator="containsText" text="L">
      <formula>NOT(ISERROR(SEARCH("L",AM13)))</formula>
    </cfRule>
  </conditionalFormatting>
  <conditionalFormatting sqref="AM19">
    <cfRule type="containsText" dxfId="9" priority="1" operator="containsText" text="L">
      <formula>NOT(ISERROR(SEARCH("L",AM19)))</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B9FE6-A87F-4B7B-B1E1-7DC0E04C803A}">
  <sheetPr>
    <pageSetUpPr fitToPage="1"/>
  </sheetPr>
  <dimension ref="A2:AS59"/>
  <sheetViews>
    <sheetView showGridLines="0" view="pageBreakPreview" topLeftCell="A15" zoomScale="55" zoomScaleNormal="100" zoomScaleSheetLayoutView="55" workbookViewId="0">
      <selection activeCell="AO40" sqref="AO39:AO40"/>
    </sheetView>
  </sheetViews>
  <sheetFormatPr baseColWidth="10" defaultColWidth="11.453125" defaultRowHeight="14.5"/>
  <cols>
    <col min="1" max="1" width="6" style="264" customWidth="1"/>
    <col min="2" max="2" width="94" style="264" customWidth="1"/>
    <col min="3" max="20" width="6.7265625" style="264" customWidth="1"/>
    <col min="21" max="21" width="10.1796875" style="264" customWidth="1"/>
    <col min="22" max="27" width="6.7265625" style="264" customWidth="1"/>
    <col min="28" max="28" width="8.1796875" style="264" bestFit="1" customWidth="1"/>
    <col min="29" max="29" width="6.7265625" style="264" customWidth="1"/>
    <col min="30" max="30" width="67" style="264" bestFit="1" customWidth="1"/>
    <col min="31" max="39" width="6.7265625" style="264" customWidth="1"/>
    <col min="40" max="40" width="13.1796875" style="264" customWidth="1"/>
    <col min="41" max="41" width="13.7265625" style="264" customWidth="1"/>
    <col min="42" max="42" width="16.26953125" style="264" customWidth="1"/>
    <col min="43" max="43" width="25" style="264" customWidth="1"/>
    <col min="44" max="44" width="11.453125" style="264"/>
    <col min="45" max="16384" width="11.453125" style="267"/>
  </cols>
  <sheetData>
    <row r="2" spans="1:44" ht="19" customHeight="1">
      <c r="B2" s="408"/>
      <c r="C2" s="409"/>
      <c r="D2" s="409"/>
      <c r="E2" s="409"/>
      <c r="F2" s="409"/>
      <c r="G2" s="410"/>
      <c r="H2" s="417" t="s">
        <v>0</v>
      </c>
      <c r="I2" s="418"/>
      <c r="J2" s="418"/>
      <c r="K2" s="418"/>
      <c r="L2" s="418"/>
      <c r="M2" s="418"/>
      <c r="N2" s="418"/>
      <c r="O2" s="418"/>
      <c r="P2" s="418"/>
      <c r="Q2" s="418"/>
      <c r="R2" s="418"/>
      <c r="S2" s="418"/>
      <c r="T2" s="418"/>
      <c r="U2" s="418"/>
      <c r="V2" s="418"/>
      <c r="W2" s="418"/>
      <c r="X2" s="418"/>
      <c r="Y2" s="418"/>
      <c r="Z2" s="418"/>
      <c r="AA2" s="418"/>
      <c r="AB2" s="418"/>
      <c r="AC2" s="418"/>
      <c r="AD2" s="418"/>
      <c r="AE2" s="418"/>
      <c r="AF2" s="418"/>
      <c r="AG2" s="418"/>
      <c r="AH2" s="418"/>
      <c r="AI2" s="418"/>
      <c r="AJ2" s="418"/>
      <c r="AK2" s="418"/>
      <c r="AL2" s="418"/>
      <c r="AM2" s="418"/>
      <c r="AN2" s="418"/>
      <c r="AO2" s="265"/>
      <c r="AP2" s="265"/>
      <c r="AQ2" s="266"/>
    </row>
    <row r="3" spans="1:44" ht="19" customHeight="1">
      <c r="B3" s="411"/>
      <c r="C3" s="412"/>
      <c r="D3" s="412"/>
      <c r="E3" s="412"/>
      <c r="F3" s="412"/>
      <c r="G3" s="413"/>
      <c r="H3" s="419"/>
      <c r="I3" s="420"/>
      <c r="J3" s="420"/>
      <c r="K3" s="420"/>
      <c r="L3" s="420"/>
      <c r="M3" s="420"/>
      <c r="N3" s="420"/>
      <c r="O3" s="420"/>
      <c r="P3" s="420"/>
      <c r="Q3" s="420"/>
      <c r="R3" s="420"/>
      <c r="S3" s="420"/>
      <c r="T3" s="420"/>
      <c r="U3" s="420"/>
      <c r="V3" s="420"/>
      <c r="W3" s="420"/>
      <c r="X3" s="420"/>
      <c r="Y3" s="420"/>
      <c r="Z3" s="420"/>
      <c r="AA3" s="420"/>
      <c r="AB3" s="420"/>
      <c r="AC3" s="420"/>
      <c r="AD3" s="420"/>
      <c r="AE3" s="420"/>
      <c r="AF3" s="420"/>
      <c r="AG3" s="420"/>
      <c r="AH3" s="420"/>
      <c r="AI3" s="420"/>
      <c r="AJ3" s="420"/>
      <c r="AK3" s="420"/>
      <c r="AL3" s="420"/>
      <c r="AM3" s="420"/>
      <c r="AN3" s="420"/>
      <c r="AO3" s="269"/>
      <c r="AP3" s="269"/>
      <c r="AQ3" s="270"/>
      <c r="AR3" s="271"/>
    </row>
    <row r="4" spans="1:44" ht="19" customHeight="1">
      <c r="B4" s="411"/>
      <c r="C4" s="412"/>
      <c r="D4" s="412"/>
      <c r="E4" s="412"/>
      <c r="F4" s="412"/>
      <c r="G4" s="413"/>
      <c r="H4" s="419"/>
      <c r="I4" s="420"/>
      <c r="J4" s="420"/>
      <c r="K4" s="420"/>
      <c r="L4" s="420"/>
      <c r="M4" s="420"/>
      <c r="N4" s="420"/>
      <c r="O4" s="420"/>
      <c r="P4" s="420"/>
      <c r="Q4" s="420"/>
      <c r="R4" s="420"/>
      <c r="S4" s="420"/>
      <c r="T4" s="420"/>
      <c r="U4" s="420"/>
      <c r="V4" s="420"/>
      <c r="W4" s="420"/>
      <c r="X4" s="420"/>
      <c r="Y4" s="420"/>
      <c r="Z4" s="420"/>
      <c r="AA4" s="420"/>
      <c r="AB4" s="420"/>
      <c r="AC4" s="420"/>
      <c r="AD4" s="420"/>
      <c r="AE4" s="420"/>
      <c r="AF4" s="420"/>
      <c r="AG4" s="420"/>
      <c r="AH4" s="420"/>
      <c r="AI4" s="420"/>
      <c r="AJ4" s="420"/>
      <c r="AK4" s="420"/>
      <c r="AL4" s="420"/>
      <c r="AM4" s="420"/>
      <c r="AN4" s="420"/>
      <c r="AO4" s="269"/>
      <c r="AP4" s="269"/>
      <c r="AQ4" s="270"/>
      <c r="AR4" s="271"/>
    </row>
    <row r="5" spans="1:44" ht="19" customHeight="1">
      <c r="B5" s="414"/>
      <c r="C5" s="415"/>
      <c r="D5" s="415"/>
      <c r="E5" s="415"/>
      <c r="F5" s="415"/>
      <c r="G5" s="416"/>
      <c r="H5" s="421"/>
      <c r="I5" s="422"/>
      <c r="J5" s="422"/>
      <c r="K5" s="422"/>
      <c r="L5" s="422"/>
      <c r="M5" s="422"/>
      <c r="N5" s="422"/>
      <c r="O5" s="422"/>
      <c r="P5" s="422"/>
      <c r="Q5" s="422"/>
      <c r="R5" s="422"/>
      <c r="S5" s="422"/>
      <c r="T5" s="422"/>
      <c r="U5" s="422"/>
      <c r="V5" s="422"/>
      <c r="W5" s="422"/>
      <c r="X5" s="422"/>
      <c r="Y5" s="422"/>
      <c r="Z5" s="422"/>
      <c r="AA5" s="422"/>
      <c r="AB5" s="422"/>
      <c r="AC5" s="422"/>
      <c r="AD5" s="422"/>
      <c r="AE5" s="422"/>
      <c r="AF5" s="422"/>
      <c r="AG5" s="422"/>
      <c r="AH5" s="422"/>
      <c r="AI5" s="422"/>
      <c r="AJ5" s="422"/>
      <c r="AK5" s="422"/>
      <c r="AL5" s="422"/>
      <c r="AM5" s="422"/>
      <c r="AN5" s="422"/>
      <c r="AO5" s="272"/>
      <c r="AP5" s="272"/>
      <c r="AQ5" s="273"/>
      <c r="AR5" s="271"/>
    </row>
    <row r="6" spans="1:44" ht="19" customHeight="1"/>
    <row r="7" spans="1:44" ht="18.5">
      <c r="A7" s="274"/>
      <c r="B7" s="275" t="s">
        <v>3</v>
      </c>
      <c r="C7" s="276" t="s">
        <v>4</v>
      </c>
      <c r="D7" s="275"/>
      <c r="E7" s="275"/>
      <c r="F7" s="275"/>
      <c r="G7" s="275"/>
      <c r="I7" s="277"/>
      <c r="J7" s="277"/>
      <c r="K7" s="274"/>
      <c r="L7" s="274"/>
      <c r="M7" s="274"/>
      <c r="N7" s="274"/>
      <c r="O7" s="274"/>
      <c r="P7" s="274"/>
      <c r="Q7" s="274"/>
      <c r="R7" s="274"/>
      <c r="S7" s="274"/>
      <c r="T7" s="274"/>
      <c r="U7" s="274"/>
      <c r="V7" s="274"/>
      <c r="W7" s="274"/>
      <c r="X7" s="274"/>
      <c r="Y7" s="274"/>
      <c r="Z7" s="274"/>
      <c r="AA7" s="274"/>
      <c r="AB7" s="274"/>
      <c r="AC7" s="274"/>
      <c r="AD7" s="274"/>
      <c r="AE7" s="274"/>
      <c r="AF7" s="274"/>
      <c r="AG7" s="274"/>
      <c r="AH7" s="274"/>
      <c r="AI7" s="274"/>
      <c r="AJ7" s="274"/>
      <c r="AK7" s="274"/>
      <c r="AL7" s="274"/>
      <c r="AM7" s="274"/>
      <c r="AN7" s="274"/>
      <c r="AO7" s="274"/>
      <c r="AP7" s="274"/>
      <c r="AQ7" s="274"/>
      <c r="AR7" s="274"/>
    </row>
    <row r="8" spans="1:44" ht="18.5">
      <c r="A8" s="274"/>
      <c r="B8" s="275" t="s">
        <v>5</v>
      </c>
      <c r="C8" s="275" t="s">
        <v>87</v>
      </c>
      <c r="D8" s="275"/>
      <c r="E8" s="275"/>
      <c r="F8" s="275"/>
      <c r="G8" s="275"/>
      <c r="I8" s="277"/>
      <c r="J8" s="277"/>
      <c r="K8" s="274"/>
      <c r="L8" s="274"/>
      <c r="M8" s="274"/>
      <c r="N8" s="274"/>
      <c r="O8" s="274"/>
      <c r="P8" s="274"/>
      <c r="Q8" s="274"/>
      <c r="R8" s="274"/>
      <c r="S8" s="274"/>
      <c r="T8" s="274"/>
      <c r="U8" s="274"/>
      <c r="V8" s="274"/>
      <c r="W8" s="274"/>
      <c r="X8" s="274"/>
      <c r="Y8" s="274"/>
      <c r="Z8" s="274"/>
      <c r="AA8" s="274"/>
      <c r="AB8" s="274"/>
      <c r="AC8" s="274"/>
      <c r="AD8" s="274"/>
      <c r="AE8" s="274"/>
      <c r="AF8" s="274"/>
      <c r="AG8" s="274"/>
      <c r="AH8" s="274"/>
      <c r="AI8" s="274"/>
      <c r="AJ8" s="274"/>
      <c r="AK8" s="274"/>
      <c r="AL8" s="274"/>
      <c r="AM8" s="274"/>
      <c r="AN8" s="274"/>
      <c r="AO8" s="274"/>
      <c r="AP8" s="274"/>
      <c r="AQ8" s="274"/>
      <c r="AR8" s="274"/>
    </row>
    <row r="9" spans="1:44" ht="18.5">
      <c r="A9" s="274"/>
      <c r="B9" s="275" t="s">
        <v>6</v>
      </c>
      <c r="C9" s="278" t="s">
        <v>65</v>
      </c>
      <c r="D9" s="275"/>
      <c r="E9" s="275"/>
      <c r="F9" s="275"/>
      <c r="G9" s="275"/>
      <c r="I9" s="279"/>
      <c r="J9" s="279"/>
      <c r="K9" s="274"/>
      <c r="L9" s="274"/>
      <c r="M9" s="274"/>
      <c r="N9" s="274"/>
      <c r="O9" s="274"/>
      <c r="P9" s="274"/>
      <c r="Q9" s="274"/>
      <c r="R9" s="274"/>
      <c r="S9" s="274"/>
      <c r="T9" s="274"/>
      <c r="U9" s="274"/>
      <c r="V9" s="274"/>
      <c r="W9" s="274"/>
      <c r="X9" s="274"/>
      <c r="Y9" s="274"/>
      <c r="Z9" s="274"/>
      <c r="AA9" s="274"/>
      <c r="AB9" s="274"/>
      <c r="AC9" s="274"/>
      <c r="AD9" s="274"/>
      <c r="AE9" s="274"/>
      <c r="AF9" s="274"/>
      <c r="AG9" s="274"/>
      <c r="AH9" s="274"/>
      <c r="AI9" s="274"/>
      <c r="AJ9" s="274"/>
      <c r="AK9" s="274"/>
      <c r="AL9" s="274"/>
      <c r="AM9" s="274"/>
      <c r="AN9" s="274"/>
      <c r="AO9" s="274"/>
      <c r="AP9" s="274"/>
      <c r="AQ9" s="274"/>
      <c r="AR9" s="274"/>
    </row>
    <row r="10" spans="1:44" ht="16" thickBot="1">
      <c r="A10" s="274"/>
      <c r="B10" s="274"/>
      <c r="C10" s="274"/>
      <c r="D10" s="274"/>
      <c r="E10" s="274"/>
      <c r="F10" s="274"/>
      <c r="G10" s="274"/>
      <c r="H10" s="274"/>
      <c r="I10" s="274"/>
      <c r="J10" s="274"/>
      <c r="K10" s="274"/>
      <c r="L10" s="274"/>
      <c r="M10" s="274"/>
      <c r="N10" s="274"/>
      <c r="O10" s="274"/>
      <c r="P10" s="274"/>
      <c r="Q10" s="274"/>
      <c r="R10" s="274"/>
      <c r="S10" s="274"/>
      <c r="T10" s="274"/>
      <c r="U10" s="274"/>
      <c r="V10" s="274"/>
      <c r="W10" s="274"/>
      <c r="X10" s="274"/>
      <c r="Y10" s="274"/>
      <c r="Z10" s="274"/>
      <c r="AA10" s="274"/>
      <c r="AB10" s="274"/>
      <c r="AC10" s="274"/>
      <c r="AD10" s="274"/>
      <c r="AE10" s="274"/>
      <c r="AF10" s="274"/>
      <c r="AG10" s="274"/>
      <c r="AH10" s="274"/>
      <c r="AI10" s="274"/>
      <c r="AJ10" s="274"/>
      <c r="AK10" s="274"/>
      <c r="AL10" s="274"/>
      <c r="AM10" s="274"/>
      <c r="AN10" s="274"/>
      <c r="AO10" s="274"/>
      <c r="AP10" s="274"/>
      <c r="AQ10" s="274"/>
      <c r="AR10" s="274"/>
    </row>
    <row r="11" spans="1:44" ht="21.5" thickBot="1">
      <c r="A11" s="274"/>
      <c r="B11" s="280" t="s">
        <v>26</v>
      </c>
      <c r="C11" s="423" t="s">
        <v>58</v>
      </c>
      <c r="D11" s="424"/>
      <c r="E11" s="424"/>
      <c r="F11" s="424"/>
      <c r="G11" s="424"/>
      <c r="H11" s="424"/>
      <c r="I11" s="424"/>
      <c r="J11" s="424"/>
      <c r="K11" s="424"/>
      <c r="L11" s="424"/>
      <c r="M11" s="424"/>
      <c r="N11" s="424"/>
      <c r="O11" s="424"/>
      <c r="P11" s="424"/>
      <c r="Q11" s="424"/>
      <c r="R11" s="424"/>
      <c r="S11" s="424"/>
      <c r="T11" s="424"/>
      <c r="U11" s="424"/>
      <c r="V11" s="424"/>
      <c r="W11" s="424"/>
      <c r="X11" s="424"/>
      <c r="Y11" s="424"/>
      <c r="Z11" s="424"/>
      <c r="AA11" s="424"/>
      <c r="AB11" s="424"/>
      <c r="AC11" s="424"/>
      <c r="AD11" s="424"/>
      <c r="AE11" s="424"/>
      <c r="AF11" s="424"/>
      <c r="AG11" s="424"/>
      <c r="AH11" s="424"/>
      <c r="AI11" s="424"/>
      <c r="AJ11" s="424"/>
      <c r="AK11" s="424"/>
      <c r="AL11" s="424"/>
      <c r="AM11" s="425"/>
      <c r="AN11" s="426" t="s">
        <v>15</v>
      </c>
      <c r="AO11" s="400" t="s">
        <v>16</v>
      </c>
      <c r="AP11" s="267"/>
      <c r="AQ11" s="267"/>
      <c r="AR11" s="281"/>
    </row>
    <row r="12" spans="1:44" ht="18.75" customHeight="1">
      <c r="A12" s="282"/>
      <c r="B12" s="403" t="s">
        <v>7</v>
      </c>
      <c r="C12" s="251">
        <v>1</v>
      </c>
      <c r="D12" s="187">
        <v>2</v>
      </c>
      <c r="E12" s="188" t="s">
        <v>14</v>
      </c>
      <c r="F12" s="189">
        <v>3</v>
      </c>
      <c r="G12" s="189">
        <v>4</v>
      </c>
      <c r="H12" s="189">
        <v>5</v>
      </c>
      <c r="I12" s="189">
        <v>6</v>
      </c>
      <c r="J12" s="187">
        <v>7</v>
      </c>
      <c r="K12" s="187">
        <v>8</v>
      </c>
      <c r="L12" s="187">
        <v>9</v>
      </c>
      <c r="M12" s="188" t="s">
        <v>14</v>
      </c>
      <c r="N12" s="189">
        <v>10</v>
      </c>
      <c r="O12" s="189">
        <v>11</v>
      </c>
      <c r="P12" s="189">
        <v>12</v>
      </c>
      <c r="Q12" s="189">
        <v>13</v>
      </c>
      <c r="R12" s="189">
        <v>14</v>
      </c>
      <c r="S12" s="187">
        <v>15</v>
      </c>
      <c r="T12" s="187">
        <v>16</v>
      </c>
      <c r="U12" s="188" t="s">
        <v>14</v>
      </c>
      <c r="V12" s="187">
        <v>17</v>
      </c>
      <c r="W12" s="189">
        <v>18</v>
      </c>
      <c r="X12" s="189">
        <v>19</v>
      </c>
      <c r="Y12" s="189">
        <v>20</v>
      </c>
      <c r="Z12" s="189">
        <v>21</v>
      </c>
      <c r="AA12" s="187">
        <v>22</v>
      </c>
      <c r="AB12" s="187">
        <v>23</v>
      </c>
      <c r="AC12" s="188" t="s">
        <v>14</v>
      </c>
      <c r="AD12" s="189">
        <v>24</v>
      </c>
      <c r="AE12" s="189">
        <v>25</v>
      </c>
      <c r="AF12" s="189">
        <v>26</v>
      </c>
      <c r="AG12" s="189">
        <v>27</v>
      </c>
      <c r="AH12" s="189">
        <v>28</v>
      </c>
      <c r="AI12" s="187">
        <v>29</v>
      </c>
      <c r="AJ12" s="187">
        <v>30</v>
      </c>
      <c r="AK12" s="188" t="s">
        <v>14</v>
      </c>
      <c r="AL12" s="189">
        <v>31</v>
      </c>
      <c r="AM12" s="283" t="s">
        <v>14</v>
      </c>
      <c r="AN12" s="427"/>
      <c r="AO12" s="401"/>
      <c r="AP12" s="281"/>
      <c r="AQ12" s="267"/>
      <c r="AR12" s="267"/>
    </row>
    <row r="13" spans="1:44" ht="19.5" customHeight="1" thickBot="1">
      <c r="A13" s="282"/>
      <c r="B13" s="404"/>
      <c r="C13" s="284" t="s">
        <v>12</v>
      </c>
      <c r="D13" s="285" t="s">
        <v>13</v>
      </c>
      <c r="E13" s="286"/>
      <c r="F13" s="286" t="s">
        <v>8</v>
      </c>
      <c r="G13" s="286" t="s">
        <v>9</v>
      </c>
      <c r="H13" s="286" t="s">
        <v>9</v>
      </c>
      <c r="I13" s="287" t="s">
        <v>10</v>
      </c>
      <c r="J13" s="288" t="s">
        <v>11</v>
      </c>
      <c r="K13" s="288" t="s">
        <v>12</v>
      </c>
      <c r="L13" s="288" t="s">
        <v>13</v>
      </c>
      <c r="M13" s="286"/>
      <c r="N13" s="286" t="s">
        <v>8</v>
      </c>
      <c r="O13" s="286" t="s">
        <v>9</v>
      </c>
      <c r="P13" s="286" t="s">
        <v>9</v>
      </c>
      <c r="Q13" s="286" t="s">
        <v>10</v>
      </c>
      <c r="R13" s="286" t="s">
        <v>11</v>
      </c>
      <c r="S13" s="288" t="s">
        <v>12</v>
      </c>
      <c r="T13" s="288" t="s">
        <v>13</v>
      </c>
      <c r="U13" s="289"/>
      <c r="V13" s="288" t="s">
        <v>8</v>
      </c>
      <c r="W13" s="286" t="s">
        <v>9</v>
      </c>
      <c r="X13" s="286" t="s">
        <v>9</v>
      </c>
      <c r="Y13" s="286" t="s">
        <v>10</v>
      </c>
      <c r="Z13" s="286" t="s">
        <v>11</v>
      </c>
      <c r="AA13" s="288" t="s">
        <v>12</v>
      </c>
      <c r="AB13" s="288" t="s">
        <v>13</v>
      </c>
      <c r="AC13" s="289"/>
      <c r="AD13" s="286" t="s">
        <v>8</v>
      </c>
      <c r="AE13" s="286" t="s">
        <v>9</v>
      </c>
      <c r="AF13" s="286" t="s">
        <v>9</v>
      </c>
      <c r="AG13" s="286" t="s">
        <v>10</v>
      </c>
      <c r="AH13" s="286" t="s">
        <v>11</v>
      </c>
      <c r="AI13" s="288" t="s">
        <v>12</v>
      </c>
      <c r="AJ13" s="288" t="s">
        <v>13</v>
      </c>
      <c r="AK13" s="289"/>
      <c r="AL13" s="286" t="s">
        <v>8</v>
      </c>
      <c r="AM13" s="290"/>
      <c r="AN13" s="428"/>
      <c r="AO13" s="402"/>
      <c r="AP13" s="281"/>
      <c r="AQ13" s="267"/>
      <c r="AR13" s="267"/>
    </row>
    <row r="14" spans="1:44" ht="39.75" customHeight="1">
      <c r="A14" s="282"/>
      <c r="B14" s="291" t="s">
        <v>88</v>
      </c>
      <c r="C14" s="292" t="s">
        <v>8</v>
      </c>
      <c r="D14" s="293" t="s">
        <v>8</v>
      </c>
      <c r="E14" s="293"/>
      <c r="F14" s="293" t="s">
        <v>32</v>
      </c>
      <c r="G14" s="293" t="s">
        <v>32</v>
      </c>
      <c r="H14" s="293" t="s">
        <v>33</v>
      </c>
      <c r="I14" s="293" t="s">
        <v>33</v>
      </c>
      <c r="J14" s="293" t="s">
        <v>8</v>
      </c>
      <c r="K14" s="293" t="s">
        <v>8</v>
      </c>
      <c r="L14" s="293" t="s">
        <v>8</v>
      </c>
      <c r="M14" s="293"/>
      <c r="N14" s="293" t="s">
        <v>32</v>
      </c>
      <c r="O14" s="293" t="s">
        <v>32</v>
      </c>
      <c r="P14" s="293" t="s">
        <v>32</v>
      </c>
      <c r="Q14" s="293" t="s">
        <v>32</v>
      </c>
      <c r="R14" s="293" t="s">
        <v>33</v>
      </c>
      <c r="S14" s="293" t="s">
        <v>8</v>
      </c>
      <c r="T14" s="293" t="s">
        <v>8</v>
      </c>
      <c r="U14" s="293"/>
      <c r="V14" s="293" t="s">
        <v>8</v>
      </c>
      <c r="W14" s="293" t="s">
        <v>73</v>
      </c>
      <c r="X14" s="293" t="s">
        <v>73</v>
      </c>
      <c r="Y14" s="293" t="s">
        <v>73</v>
      </c>
      <c r="Z14" s="293" t="s">
        <v>33</v>
      </c>
      <c r="AA14" s="293" t="s">
        <v>8</v>
      </c>
      <c r="AB14" s="293" t="s">
        <v>8</v>
      </c>
      <c r="AC14" s="293"/>
      <c r="AD14" s="293" t="s">
        <v>32</v>
      </c>
      <c r="AE14" s="293" t="s">
        <v>32</v>
      </c>
      <c r="AF14" s="293" t="s">
        <v>33</v>
      </c>
      <c r="AG14" s="293" t="s">
        <v>33</v>
      </c>
      <c r="AH14" s="293" t="s">
        <v>33</v>
      </c>
      <c r="AI14" s="293" t="s">
        <v>8</v>
      </c>
      <c r="AJ14" s="293" t="s">
        <v>8</v>
      </c>
      <c r="AK14" s="293"/>
      <c r="AL14" s="293" t="s">
        <v>33</v>
      </c>
      <c r="AM14" s="294"/>
      <c r="AN14" s="295" t="s">
        <v>15</v>
      </c>
      <c r="AO14" s="296"/>
      <c r="AP14" s="281"/>
      <c r="AQ14" s="267"/>
      <c r="AR14" s="267"/>
    </row>
    <row r="15" spans="1:44" ht="37.5" customHeight="1">
      <c r="A15" s="282"/>
      <c r="B15" s="291" t="s">
        <v>89</v>
      </c>
      <c r="C15" s="297" t="s">
        <v>8</v>
      </c>
      <c r="D15" s="298" t="s">
        <v>8</v>
      </c>
      <c r="E15" s="298"/>
      <c r="F15" s="298" t="s">
        <v>17</v>
      </c>
      <c r="G15" s="298" t="s">
        <v>17</v>
      </c>
      <c r="H15" s="298" t="s">
        <v>17</v>
      </c>
      <c r="I15" s="298" t="s">
        <v>17</v>
      </c>
      <c r="J15" s="298" t="s">
        <v>8</v>
      </c>
      <c r="K15" s="298" t="s">
        <v>8</v>
      </c>
      <c r="L15" s="298" t="s">
        <v>8</v>
      </c>
      <c r="M15" s="298"/>
      <c r="N15" s="298" t="s">
        <v>17</v>
      </c>
      <c r="O15" s="298" t="s">
        <v>17</v>
      </c>
      <c r="P15" s="298" t="s">
        <v>17</v>
      </c>
      <c r="Q15" s="298" t="s">
        <v>17</v>
      </c>
      <c r="R15" s="298" t="s">
        <v>13</v>
      </c>
      <c r="S15" s="298" t="s">
        <v>8</v>
      </c>
      <c r="T15" s="298" t="s">
        <v>8</v>
      </c>
      <c r="U15" s="298"/>
      <c r="V15" s="298" t="s">
        <v>8</v>
      </c>
      <c r="W15" s="298" t="s">
        <v>17</v>
      </c>
      <c r="X15" s="298" t="s">
        <v>17</v>
      </c>
      <c r="Y15" s="298" t="s">
        <v>17</v>
      </c>
      <c r="Z15" s="298" t="s">
        <v>13</v>
      </c>
      <c r="AA15" s="298" t="s">
        <v>8</v>
      </c>
      <c r="AB15" s="298" t="s">
        <v>8</v>
      </c>
      <c r="AC15" s="298"/>
      <c r="AD15" s="298" t="s">
        <v>17</v>
      </c>
      <c r="AE15" s="298" t="s">
        <v>17</v>
      </c>
      <c r="AF15" s="298" t="s">
        <v>17</v>
      </c>
      <c r="AG15" s="298" t="s">
        <v>13</v>
      </c>
      <c r="AH15" s="298" t="s">
        <v>13</v>
      </c>
      <c r="AI15" s="298" t="s">
        <v>8</v>
      </c>
      <c r="AJ15" s="298" t="s">
        <v>8</v>
      </c>
      <c r="AK15" s="298"/>
      <c r="AL15" s="298" t="s">
        <v>13</v>
      </c>
      <c r="AM15" s="299"/>
      <c r="AN15" s="300" t="s">
        <v>15</v>
      </c>
      <c r="AO15" s="301"/>
      <c r="AP15" s="281"/>
      <c r="AQ15" s="267"/>
      <c r="AR15" s="267"/>
    </row>
    <row r="16" spans="1:44" ht="39.75" customHeight="1">
      <c r="A16" s="282"/>
      <c r="B16" s="291" t="s">
        <v>90</v>
      </c>
      <c r="C16" s="297" t="s">
        <v>8</v>
      </c>
      <c r="D16" s="298" t="s">
        <v>8</v>
      </c>
      <c r="E16" s="298"/>
      <c r="F16" s="298" t="s">
        <v>32</v>
      </c>
      <c r="G16" s="298" t="s">
        <v>32</v>
      </c>
      <c r="H16" s="298" t="s">
        <v>33</v>
      </c>
      <c r="I16" s="298" t="s">
        <v>33</v>
      </c>
      <c r="J16" s="298" t="s">
        <v>8</v>
      </c>
      <c r="K16" s="298" t="s">
        <v>8</v>
      </c>
      <c r="L16" s="298" t="s">
        <v>8</v>
      </c>
      <c r="M16" s="298"/>
      <c r="N16" s="298" t="s">
        <v>32</v>
      </c>
      <c r="O16" s="298" t="s">
        <v>32</v>
      </c>
      <c r="P16" s="298" t="s">
        <v>32</v>
      </c>
      <c r="Q16" s="298" t="s">
        <v>32</v>
      </c>
      <c r="R16" s="298" t="s">
        <v>33</v>
      </c>
      <c r="S16" s="298" t="s">
        <v>8</v>
      </c>
      <c r="T16" s="298" t="s">
        <v>8</v>
      </c>
      <c r="U16" s="298"/>
      <c r="V16" s="298" t="s">
        <v>8</v>
      </c>
      <c r="W16" s="298" t="s">
        <v>73</v>
      </c>
      <c r="X16" s="298" t="s">
        <v>73</v>
      </c>
      <c r="Y16" s="298" t="s">
        <v>73</v>
      </c>
      <c r="Z16" s="298" t="s">
        <v>33</v>
      </c>
      <c r="AA16" s="298" t="s">
        <v>8</v>
      </c>
      <c r="AB16" s="298" t="s">
        <v>8</v>
      </c>
      <c r="AC16" s="298"/>
      <c r="AD16" s="298" t="s">
        <v>32</v>
      </c>
      <c r="AE16" s="298" t="s">
        <v>32</v>
      </c>
      <c r="AF16" s="298" t="s">
        <v>33</v>
      </c>
      <c r="AG16" s="298" t="s">
        <v>33</v>
      </c>
      <c r="AH16" s="298" t="s">
        <v>33</v>
      </c>
      <c r="AI16" s="298" t="s">
        <v>8</v>
      </c>
      <c r="AJ16" s="298" t="s">
        <v>8</v>
      </c>
      <c r="AK16" s="298"/>
      <c r="AL16" s="298" t="s">
        <v>33</v>
      </c>
      <c r="AM16" s="299"/>
      <c r="AN16" s="300" t="s">
        <v>15</v>
      </c>
      <c r="AO16" s="301"/>
      <c r="AP16" s="281"/>
      <c r="AQ16" s="267"/>
      <c r="AR16" s="267"/>
    </row>
    <row r="17" spans="1:44" ht="39.75" customHeight="1">
      <c r="A17" s="282"/>
      <c r="B17" s="291" t="s">
        <v>91</v>
      </c>
      <c r="C17" s="297" t="s">
        <v>8</v>
      </c>
      <c r="D17" s="298" t="s">
        <v>8</v>
      </c>
      <c r="E17" s="298"/>
      <c r="F17" s="298" t="s">
        <v>33</v>
      </c>
      <c r="G17" s="298" t="s">
        <v>33</v>
      </c>
      <c r="H17" s="298" t="s">
        <v>33</v>
      </c>
      <c r="I17" s="298" t="s">
        <v>33</v>
      </c>
      <c r="J17" s="298" t="s">
        <v>8</v>
      </c>
      <c r="K17" s="298" t="s">
        <v>8</v>
      </c>
      <c r="L17" s="298" t="s">
        <v>8</v>
      </c>
      <c r="M17" s="298"/>
      <c r="N17" s="298" t="s">
        <v>33</v>
      </c>
      <c r="O17" s="298" t="s">
        <v>32</v>
      </c>
      <c r="P17" s="298" t="s">
        <v>33</v>
      </c>
      <c r="Q17" s="298" t="s">
        <v>32</v>
      </c>
      <c r="R17" s="298" t="s">
        <v>33</v>
      </c>
      <c r="S17" s="298" t="s">
        <v>8</v>
      </c>
      <c r="T17" s="298" t="s">
        <v>8</v>
      </c>
      <c r="U17" s="298"/>
      <c r="V17" s="298" t="s">
        <v>8</v>
      </c>
      <c r="W17" s="298" t="s">
        <v>32</v>
      </c>
      <c r="X17" s="298" t="s">
        <v>33</v>
      </c>
      <c r="Y17" s="298" t="s">
        <v>32</v>
      </c>
      <c r="Z17" s="298" t="s">
        <v>33</v>
      </c>
      <c r="AA17" s="298" t="s">
        <v>8</v>
      </c>
      <c r="AB17" s="298" t="s">
        <v>8</v>
      </c>
      <c r="AC17" s="298"/>
      <c r="AD17" s="298" t="s">
        <v>33</v>
      </c>
      <c r="AE17" s="298" t="s">
        <v>32</v>
      </c>
      <c r="AF17" s="298" t="s">
        <v>33</v>
      </c>
      <c r="AG17" s="298" t="s">
        <v>32</v>
      </c>
      <c r="AH17" s="298" t="s">
        <v>33</v>
      </c>
      <c r="AI17" s="298" t="s">
        <v>75</v>
      </c>
      <c r="AJ17" s="298" t="s">
        <v>8</v>
      </c>
      <c r="AK17" s="298"/>
      <c r="AL17" s="298" t="s">
        <v>33</v>
      </c>
      <c r="AM17" s="299"/>
      <c r="AN17" s="300" t="s">
        <v>15</v>
      </c>
      <c r="AO17" s="301"/>
      <c r="AP17" s="281"/>
      <c r="AQ17" s="267"/>
      <c r="AR17" s="267"/>
    </row>
    <row r="18" spans="1:44" ht="39.75" customHeight="1">
      <c r="A18" s="282"/>
      <c r="B18" s="291" t="s">
        <v>92</v>
      </c>
      <c r="C18" s="297" t="s">
        <v>8</v>
      </c>
      <c r="D18" s="298" t="s">
        <v>8</v>
      </c>
      <c r="E18" s="298"/>
      <c r="F18" s="298" t="s">
        <v>71</v>
      </c>
      <c r="G18" s="298" t="s">
        <v>71</v>
      </c>
      <c r="H18" s="298" t="s">
        <v>71</v>
      </c>
      <c r="I18" s="298" t="s">
        <v>33</v>
      </c>
      <c r="J18" s="298" t="s">
        <v>8</v>
      </c>
      <c r="K18" s="298" t="s">
        <v>8</v>
      </c>
      <c r="L18" s="298" t="s">
        <v>8</v>
      </c>
      <c r="M18" s="298"/>
      <c r="N18" s="298" t="s">
        <v>71</v>
      </c>
      <c r="O18" s="298" t="s">
        <v>71</v>
      </c>
      <c r="P18" s="298" t="s">
        <v>71</v>
      </c>
      <c r="Q18" s="298" t="s">
        <v>71</v>
      </c>
      <c r="R18" s="298" t="s">
        <v>67</v>
      </c>
      <c r="S18" s="298" t="s">
        <v>8</v>
      </c>
      <c r="T18" s="298" t="s">
        <v>8</v>
      </c>
      <c r="U18" s="298"/>
      <c r="V18" s="298" t="s">
        <v>8</v>
      </c>
      <c r="W18" s="298" t="s">
        <v>71</v>
      </c>
      <c r="X18" s="298" t="s">
        <v>71</v>
      </c>
      <c r="Y18" s="298" t="s">
        <v>71</v>
      </c>
      <c r="Z18" s="298" t="s">
        <v>67</v>
      </c>
      <c r="AA18" s="298" t="s">
        <v>8</v>
      </c>
      <c r="AB18" s="298" t="s">
        <v>8</v>
      </c>
      <c r="AC18" s="298"/>
      <c r="AD18" s="298" t="s">
        <v>71</v>
      </c>
      <c r="AE18" s="298" t="s">
        <v>71</v>
      </c>
      <c r="AF18" s="298" t="s">
        <v>71</v>
      </c>
      <c r="AG18" s="298" t="s">
        <v>71</v>
      </c>
      <c r="AH18" s="298" t="s">
        <v>67</v>
      </c>
      <c r="AI18" s="298" t="s">
        <v>75</v>
      </c>
      <c r="AJ18" s="298" t="s">
        <v>8</v>
      </c>
      <c r="AK18" s="298"/>
      <c r="AL18" s="298" t="s">
        <v>71</v>
      </c>
      <c r="AM18" s="299"/>
      <c r="AN18" s="300" t="s">
        <v>15</v>
      </c>
      <c r="AO18" s="301"/>
      <c r="AP18" s="281"/>
      <c r="AQ18" s="267"/>
      <c r="AR18" s="267"/>
    </row>
    <row r="19" spans="1:44" ht="48" customHeight="1" thickBot="1">
      <c r="A19" s="282"/>
      <c r="B19" s="302" t="s">
        <v>93</v>
      </c>
      <c r="C19" s="303" t="s">
        <v>8</v>
      </c>
      <c r="D19" s="304" t="s">
        <v>8</v>
      </c>
      <c r="E19" s="304"/>
      <c r="F19" s="304" t="s">
        <v>33</v>
      </c>
      <c r="G19" s="304" t="s">
        <v>33</v>
      </c>
      <c r="H19" s="304" t="s">
        <v>33</v>
      </c>
      <c r="I19" s="304" t="s">
        <v>33</v>
      </c>
      <c r="J19" s="304" t="s">
        <v>8</v>
      </c>
      <c r="K19" s="304" t="s">
        <v>8</v>
      </c>
      <c r="L19" s="304" t="s">
        <v>8</v>
      </c>
      <c r="M19" s="304"/>
      <c r="N19" s="304" t="s">
        <v>33</v>
      </c>
      <c r="O19" s="304" t="s">
        <v>32</v>
      </c>
      <c r="P19" s="304" t="s">
        <v>33</v>
      </c>
      <c r="Q19" s="304" t="s">
        <v>32</v>
      </c>
      <c r="R19" s="304" t="s">
        <v>33</v>
      </c>
      <c r="S19" s="304" t="s">
        <v>8</v>
      </c>
      <c r="T19" s="304" t="s">
        <v>8</v>
      </c>
      <c r="U19" s="304"/>
      <c r="V19" s="304" t="s">
        <v>8</v>
      </c>
      <c r="W19" s="304" t="s">
        <v>32</v>
      </c>
      <c r="X19" s="304" t="s">
        <v>33</v>
      </c>
      <c r="Y19" s="304" t="s">
        <v>32</v>
      </c>
      <c r="Z19" s="304" t="s">
        <v>33</v>
      </c>
      <c r="AA19" s="304" t="s">
        <v>8</v>
      </c>
      <c r="AB19" s="304" t="s">
        <v>8</v>
      </c>
      <c r="AC19" s="304"/>
      <c r="AD19" s="304" t="s">
        <v>33</v>
      </c>
      <c r="AE19" s="304" t="s">
        <v>32</v>
      </c>
      <c r="AF19" s="304" t="s">
        <v>33</v>
      </c>
      <c r="AG19" s="304" t="s">
        <v>32</v>
      </c>
      <c r="AH19" s="304" t="s">
        <v>33</v>
      </c>
      <c r="AI19" s="304" t="s">
        <v>75</v>
      </c>
      <c r="AJ19" s="304" t="s">
        <v>8</v>
      </c>
      <c r="AK19" s="304"/>
      <c r="AL19" s="304" t="s">
        <v>33</v>
      </c>
      <c r="AM19" s="305"/>
      <c r="AN19" s="306" t="s">
        <v>15</v>
      </c>
      <c r="AO19" s="307"/>
      <c r="AP19" s="281"/>
      <c r="AQ19" s="267"/>
      <c r="AR19" s="267"/>
    </row>
    <row r="20" spans="1:44" ht="38.25" customHeight="1" thickBot="1">
      <c r="A20" s="274"/>
      <c r="B20" s="308"/>
      <c r="C20" s="308"/>
      <c r="D20" s="308"/>
      <c r="E20" s="308"/>
      <c r="F20" s="308"/>
      <c r="G20" s="308"/>
      <c r="H20" s="308"/>
      <c r="I20" s="308"/>
      <c r="J20" s="308"/>
      <c r="K20" s="308"/>
      <c r="L20" s="308"/>
      <c r="M20" s="308"/>
      <c r="N20" s="308"/>
      <c r="O20" s="308"/>
      <c r="P20" s="308"/>
      <c r="Q20" s="308"/>
      <c r="R20" s="308"/>
      <c r="S20" s="308"/>
      <c r="T20" s="308"/>
      <c r="U20" s="308"/>
      <c r="V20" s="308"/>
      <c r="W20" s="308"/>
      <c r="X20" s="308"/>
      <c r="Y20" s="308"/>
      <c r="Z20" s="308"/>
      <c r="AA20" s="308"/>
      <c r="AB20" s="308"/>
      <c r="AC20" s="308"/>
      <c r="AD20" s="308"/>
      <c r="AE20" s="308"/>
      <c r="AF20" s="308"/>
      <c r="AG20" s="308"/>
      <c r="AH20" s="308"/>
      <c r="AI20" s="308"/>
      <c r="AJ20" s="308"/>
      <c r="AK20" s="308"/>
      <c r="AL20" s="308"/>
      <c r="AM20" s="308"/>
      <c r="AN20" s="308"/>
      <c r="AO20" s="308"/>
      <c r="AP20" s="308"/>
      <c r="AQ20" s="308"/>
      <c r="AR20" s="281"/>
    </row>
    <row r="21" spans="1:44" ht="16" thickBot="1">
      <c r="A21" s="274"/>
      <c r="B21" s="309" t="s">
        <v>26</v>
      </c>
      <c r="C21" s="429" t="s">
        <v>58</v>
      </c>
      <c r="D21" s="430"/>
      <c r="E21" s="430"/>
      <c r="F21" s="430"/>
      <c r="G21" s="430"/>
      <c r="H21" s="430"/>
      <c r="I21" s="430"/>
      <c r="J21" s="430"/>
      <c r="K21" s="430"/>
      <c r="L21" s="430"/>
      <c r="M21" s="430"/>
      <c r="N21" s="430"/>
      <c r="O21" s="430"/>
      <c r="P21" s="430"/>
      <c r="Q21" s="430"/>
      <c r="R21" s="430"/>
      <c r="S21" s="430"/>
      <c r="T21" s="430"/>
      <c r="U21" s="430"/>
      <c r="V21" s="430"/>
      <c r="W21" s="430"/>
      <c r="X21" s="430"/>
      <c r="Y21" s="430"/>
      <c r="Z21" s="430"/>
      <c r="AA21" s="430"/>
      <c r="AB21" s="430"/>
      <c r="AC21" s="430"/>
      <c r="AD21" s="430"/>
      <c r="AE21" s="430"/>
      <c r="AF21" s="430"/>
      <c r="AG21" s="430"/>
      <c r="AH21" s="430"/>
      <c r="AI21" s="430"/>
      <c r="AJ21" s="430"/>
      <c r="AK21" s="430"/>
      <c r="AL21" s="430"/>
      <c r="AM21" s="431"/>
      <c r="AN21" s="310"/>
      <c r="AO21" s="310"/>
      <c r="AP21" s="281"/>
      <c r="AQ21" s="267"/>
      <c r="AR21" s="281"/>
    </row>
    <row r="22" spans="1:44" ht="15.75" customHeight="1">
      <c r="A22" s="274"/>
      <c r="B22" s="432" t="s">
        <v>7</v>
      </c>
      <c r="C22" s="251" t="s">
        <v>12</v>
      </c>
      <c r="D22" s="187" t="s">
        <v>13</v>
      </c>
      <c r="E22" s="188" t="s">
        <v>14</v>
      </c>
      <c r="F22" s="189" t="s">
        <v>8</v>
      </c>
      <c r="G22" s="189" t="s">
        <v>9</v>
      </c>
      <c r="H22" s="189" t="s">
        <v>9</v>
      </c>
      <c r="I22" s="189" t="s">
        <v>10</v>
      </c>
      <c r="J22" s="187" t="s">
        <v>11</v>
      </c>
      <c r="K22" s="187" t="s">
        <v>12</v>
      </c>
      <c r="L22" s="187" t="s">
        <v>13</v>
      </c>
      <c r="M22" s="188" t="s">
        <v>14</v>
      </c>
      <c r="N22" s="189" t="s">
        <v>8</v>
      </c>
      <c r="O22" s="189" t="s">
        <v>9</v>
      </c>
      <c r="P22" s="189" t="s">
        <v>9</v>
      </c>
      <c r="Q22" s="189" t="s">
        <v>10</v>
      </c>
      <c r="R22" s="189" t="s">
        <v>11</v>
      </c>
      <c r="S22" s="187" t="s">
        <v>12</v>
      </c>
      <c r="T22" s="187" t="s">
        <v>13</v>
      </c>
      <c r="U22" s="188" t="s">
        <v>14</v>
      </c>
      <c r="V22" s="187" t="s">
        <v>8</v>
      </c>
      <c r="W22" s="189" t="s">
        <v>9</v>
      </c>
      <c r="X22" s="189" t="s">
        <v>9</v>
      </c>
      <c r="Y22" s="189" t="s">
        <v>10</v>
      </c>
      <c r="Z22" s="189" t="s">
        <v>11</v>
      </c>
      <c r="AA22" s="187" t="s">
        <v>12</v>
      </c>
      <c r="AB22" s="187" t="s">
        <v>13</v>
      </c>
      <c r="AC22" s="188" t="s">
        <v>14</v>
      </c>
      <c r="AD22" s="189" t="s">
        <v>8</v>
      </c>
      <c r="AE22" s="189" t="s">
        <v>9</v>
      </c>
      <c r="AF22" s="189" t="s">
        <v>9</v>
      </c>
      <c r="AG22" s="189" t="s">
        <v>10</v>
      </c>
      <c r="AH22" s="189" t="s">
        <v>11</v>
      </c>
      <c r="AI22" s="187" t="s">
        <v>12</v>
      </c>
      <c r="AJ22" s="187" t="s">
        <v>13</v>
      </c>
      <c r="AK22" s="188" t="s">
        <v>14</v>
      </c>
      <c r="AL22" s="189" t="s">
        <v>8</v>
      </c>
      <c r="AM22" s="283" t="s">
        <v>14</v>
      </c>
      <c r="AN22" s="434" t="s">
        <v>15</v>
      </c>
      <c r="AO22" s="435" t="s">
        <v>16</v>
      </c>
      <c r="AP22" s="281"/>
      <c r="AQ22" s="267"/>
      <c r="AR22" s="267"/>
    </row>
    <row r="23" spans="1:44" ht="21" customHeight="1" thickBot="1">
      <c r="A23" s="274"/>
      <c r="B23" s="433"/>
      <c r="C23" s="254">
        <v>1</v>
      </c>
      <c r="D23" s="311">
        <v>2</v>
      </c>
      <c r="E23" s="211"/>
      <c r="F23" s="211">
        <v>3</v>
      </c>
      <c r="G23" s="211">
        <v>4</v>
      </c>
      <c r="H23" s="211">
        <v>5</v>
      </c>
      <c r="I23" s="312">
        <v>6</v>
      </c>
      <c r="J23" s="212">
        <v>7</v>
      </c>
      <c r="K23" s="212">
        <v>8</v>
      </c>
      <c r="L23" s="212">
        <v>9</v>
      </c>
      <c r="M23" s="211"/>
      <c r="N23" s="211">
        <v>10</v>
      </c>
      <c r="O23" s="211">
        <v>11</v>
      </c>
      <c r="P23" s="211">
        <v>12</v>
      </c>
      <c r="Q23" s="211">
        <v>13</v>
      </c>
      <c r="R23" s="211">
        <v>14</v>
      </c>
      <c r="S23" s="212">
        <v>15</v>
      </c>
      <c r="T23" s="212">
        <v>16</v>
      </c>
      <c r="U23" s="196"/>
      <c r="V23" s="212">
        <v>17</v>
      </c>
      <c r="W23" s="211">
        <v>18</v>
      </c>
      <c r="X23" s="211">
        <v>19</v>
      </c>
      <c r="Y23" s="211">
        <v>20</v>
      </c>
      <c r="Z23" s="211">
        <v>21</v>
      </c>
      <c r="AA23" s="212">
        <v>22</v>
      </c>
      <c r="AB23" s="212">
        <v>23</v>
      </c>
      <c r="AC23" s="196"/>
      <c r="AD23" s="211">
        <v>24</v>
      </c>
      <c r="AE23" s="211">
        <v>25</v>
      </c>
      <c r="AF23" s="211">
        <v>26</v>
      </c>
      <c r="AG23" s="211">
        <v>27</v>
      </c>
      <c r="AH23" s="211">
        <v>28</v>
      </c>
      <c r="AI23" s="212">
        <v>29</v>
      </c>
      <c r="AJ23" s="212">
        <v>30</v>
      </c>
      <c r="AK23" s="196"/>
      <c r="AL23" s="211">
        <v>31</v>
      </c>
      <c r="AM23" s="313"/>
      <c r="AN23" s="434"/>
      <c r="AO23" s="435"/>
      <c r="AP23" s="281"/>
      <c r="AQ23" s="267"/>
      <c r="AR23" s="267"/>
    </row>
    <row r="24" spans="1:44" s="321" customFormat="1" ht="18.5">
      <c r="A24" s="282"/>
      <c r="B24" s="314" t="str">
        <f t="shared" ref="B24:B29" si="0">B14</f>
        <v>EDITH VALENTINA JIMENEZ FONSECA - GLOSAS</v>
      </c>
      <c r="C24" s="315">
        <f t="shared" ref="C24:D26" si="1">VLOOKUP(C14,$H$37:$Z$47,18,FALSE)</f>
        <v>0</v>
      </c>
      <c r="D24" s="316">
        <f t="shared" si="1"/>
        <v>0</v>
      </c>
      <c r="E24" s="316">
        <f>SUM(C24:D24)</f>
        <v>0</v>
      </c>
      <c r="F24" s="316">
        <f>VLOOKUP(F14,$H$36:$Z$47,18,FALSE)</f>
        <v>9</v>
      </c>
      <c r="G24" s="316">
        <f>VLOOKUP(G14,$H$36:$Z$47,18,FALSE)</f>
        <v>9</v>
      </c>
      <c r="H24" s="316">
        <f>VLOOKUP(H14,$H$36:$Z$47,18,FALSE)</f>
        <v>8</v>
      </c>
      <c r="I24" s="316">
        <f>VLOOKUP(I14,$H$36:$Z$47,18,FALSE)</f>
        <v>8</v>
      </c>
      <c r="J24" s="316">
        <f>VLOOKUP(J14,$H$37:$Z$47,18,FALSE)</f>
        <v>0</v>
      </c>
      <c r="K24" s="317">
        <f t="shared" ref="K24:L24" si="2">VLOOKUP(K14,$H$37:$Z$47,18,FALSE)</f>
        <v>0</v>
      </c>
      <c r="L24" s="317">
        <f t="shared" si="2"/>
        <v>0</v>
      </c>
      <c r="M24" s="316">
        <f>F24+G24+H24+I24+J24</f>
        <v>34</v>
      </c>
      <c r="N24" s="316">
        <f>VLOOKUP(N14,$H$36:$Z$47,18,FALSE)</f>
        <v>9</v>
      </c>
      <c r="O24" s="316">
        <f>VLOOKUP(O14,$H$36:$Z$47,18,FALSE)</f>
        <v>9</v>
      </c>
      <c r="P24" s="316">
        <f>VLOOKUP(P14,$H$36:$Z$47,18,FALSE)</f>
        <v>9</v>
      </c>
      <c r="Q24" s="316">
        <f>VLOOKUP(Q14,$H$36:$Z$47,18,FALSE)</f>
        <v>9</v>
      </c>
      <c r="R24" s="316">
        <f>VLOOKUP(R14,$H$36:$Z$47,18,FALSE)</f>
        <v>8</v>
      </c>
      <c r="S24" s="317">
        <f t="shared" ref="S24" si="3">VLOOKUP(S14,$H$37:$Z$47,18,FALSE)</f>
        <v>0</v>
      </c>
      <c r="T24" s="317">
        <f t="shared" ref="T24:T29" si="4">VLOOKUP(T14,$H$37:$Y$46,18,FALSE)</f>
        <v>0</v>
      </c>
      <c r="U24" s="316">
        <f>+N24+O24+P24+Q24+R24+S24</f>
        <v>44</v>
      </c>
      <c r="V24" s="317">
        <f t="shared" ref="V24:V29" si="5">VLOOKUP(V14,$H$37:$Y$46,18,FALSE)</f>
        <v>0</v>
      </c>
      <c r="W24" s="316">
        <f>VLOOKUP(W14,$H$36:$Z$47,18,FALSE)</f>
        <v>10</v>
      </c>
      <c r="X24" s="316">
        <f>VLOOKUP(X14,$H$36:$Z$47,18,FALSE)</f>
        <v>10</v>
      </c>
      <c r="Y24" s="316">
        <f>VLOOKUP(Y14,$H$36:$Z$47,18,FALSE)</f>
        <v>10</v>
      </c>
      <c r="Z24" s="316">
        <f>VLOOKUP(Z14,$H$36:$Z$47,18,FALSE)</f>
        <v>8</v>
      </c>
      <c r="AA24" s="317">
        <f t="shared" ref="AA24:AB29" si="6">VLOOKUP(AA14,$H$37:$Y$46,18,FALSE)</f>
        <v>0</v>
      </c>
      <c r="AB24" s="317">
        <f t="shared" si="6"/>
        <v>0</v>
      </c>
      <c r="AC24" s="316">
        <f>+W24+X24+Y24+Z24+AA24</f>
        <v>38</v>
      </c>
      <c r="AD24" s="317">
        <f>VLOOKUP(AD14,$H$36:$Z$47,18,FALSE)</f>
        <v>9</v>
      </c>
      <c r="AE24" s="317">
        <f>VLOOKUP(AE14,$H$36:$Z$47,18,FALSE)</f>
        <v>9</v>
      </c>
      <c r="AF24" s="317">
        <f>VLOOKUP(AF14,$H$36:$Z$47,18,FALSE)</f>
        <v>8</v>
      </c>
      <c r="AG24" s="317">
        <f>VLOOKUP(AG14,$H$36:$Z$47,18,FALSE)</f>
        <v>8</v>
      </c>
      <c r="AH24" s="317">
        <f>VLOOKUP(AH14,$H$36:$Z$47,18,FALSE)</f>
        <v>8</v>
      </c>
      <c r="AI24" s="317">
        <f t="shared" ref="AI24:AI29" si="7">VLOOKUP(AI14,$H$37:$Z$47,18,FALSE)</f>
        <v>0</v>
      </c>
      <c r="AJ24" s="317">
        <f t="shared" ref="AJ24:AJ29" si="8">VLOOKUP(AJ14,$H$37:$Y$46,18,FALSE)</f>
        <v>0</v>
      </c>
      <c r="AK24" s="316">
        <f>+AE24+AF24+AG24+AH24+AI24+AD24</f>
        <v>42</v>
      </c>
      <c r="AL24" s="316">
        <f>VLOOKUP(AL14,$H$36:$Z$47,18,FALSE)</f>
        <v>8</v>
      </c>
      <c r="AM24" s="318">
        <f>+AL24</f>
        <v>8</v>
      </c>
      <c r="AN24" s="319">
        <v>2</v>
      </c>
      <c r="AO24" s="320">
        <f t="shared" ref="AO24:AO29" si="9">+M24+U24+AC24+AK24+AM24+AN24+E24</f>
        <v>168</v>
      </c>
      <c r="AP24" s="278"/>
    </row>
    <row r="25" spans="1:44" s="321" customFormat="1" ht="18.5">
      <c r="A25" s="282"/>
      <c r="B25" s="314" t="str">
        <f t="shared" si="0"/>
        <v>EDWIN MAURICIO SANCHEZ - GLOSAS</v>
      </c>
      <c r="C25" s="322">
        <f t="shared" si="1"/>
        <v>0</v>
      </c>
      <c r="D25" s="323">
        <f t="shared" si="1"/>
        <v>0</v>
      </c>
      <c r="E25" s="323">
        <f t="shared" ref="E25:E29" si="10">SUM(C25:D25)</f>
        <v>0</v>
      </c>
      <c r="F25" s="323">
        <f t="shared" ref="F25:I29" si="11">VLOOKUP(F15,$H$36:$Z$47,18,FALSE)</f>
        <v>9</v>
      </c>
      <c r="G25" s="323">
        <f t="shared" si="11"/>
        <v>9</v>
      </c>
      <c r="H25" s="323">
        <f t="shared" si="11"/>
        <v>9</v>
      </c>
      <c r="I25" s="323">
        <f t="shared" si="11"/>
        <v>9</v>
      </c>
      <c r="J25" s="323">
        <f t="shared" ref="J25:K28" si="12">VLOOKUP(J15,$H$37:$Z$46,18,FALSE)</f>
        <v>0</v>
      </c>
      <c r="K25" s="324">
        <f t="shared" si="12"/>
        <v>0</v>
      </c>
      <c r="L25" s="324">
        <f>VLOOKUP(L15,$H$37:$Z$47,18,FALSE)</f>
        <v>0</v>
      </c>
      <c r="M25" s="323">
        <f>F25+G25+H25+I25+J25</f>
        <v>36</v>
      </c>
      <c r="N25" s="323">
        <f t="shared" ref="N25:R29" si="13">VLOOKUP(N15,$H$36:$Z$47,18,FALSE)</f>
        <v>9</v>
      </c>
      <c r="O25" s="323">
        <f t="shared" si="13"/>
        <v>9</v>
      </c>
      <c r="P25" s="323">
        <f t="shared" si="13"/>
        <v>9</v>
      </c>
      <c r="Q25" s="323">
        <f t="shared" si="13"/>
        <v>9</v>
      </c>
      <c r="R25" s="323">
        <f t="shared" si="13"/>
        <v>8</v>
      </c>
      <c r="S25" s="324">
        <f>VLOOKUP(S15,$H$37:$Z$47,18,FALSE)</f>
        <v>0</v>
      </c>
      <c r="T25" s="324">
        <f t="shared" si="4"/>
        <v>0</v>
      </c>
      <c r="U25" s="323">
        <f t="shared" ref="U25:U29" si="14">+N25+O25+P25+Q25+R25+S25</f>
        <v>44</v>
      </c>
      <c r="V25" s="324">
        <f t="shared" si="5"/>
        <v>0</v>
      </c>
      <c r="W25" s="323">
        <f t="shared" ref="W25:Z29" si="15">VLOOKUP(W15,$H$36:$Z$47,18,FALSE)</f>
        <v>9</v>
      </c>
      <c r="X25" s="323">
        <f t="shared" si="15"/>
        <v>9</v>
      </c>
      <c r="Y25" s="323">
        <f t="shared" si="15"/>
        <v>9</v>
      </c>
      <c r="Z25" s="323">
        <f t="shared" si="15"/>
        <v>8</v>
      </c>
      <c r="AA25" s="324">
        <f t="shared" si="6"/>
        <v>0</v>
      </c>
      <c r="AB25" s="324">
        <f t="shared" si="6"/>
        <v>0</v>
      </c>
      <c r="AC25" s="323">
        <f t="shared" ref="AC25:AC29" si="16">+W25+X25+Y25+Z25+AA25</f>
        <v>35</v>
      </c>
      <c r="AD25" s="324">
        <f>VLOOKUP(AD15,$H$36:$Z$47,18,FALSE)</f>
        <v>9</v>
      </c>
      <c r="AE25" s="324">
        <f t="shared" ref="AE25:AH29" si="17">VLOOKUP(AE15,$H$36:$Z$47,18,FALSE)</f>
        <v>9</v>
      </c>
      <c r="AF25" s="324">
        <f t="shared" si="17"/>
        <v>9</v>
      </c>
      <c r="AG25" s="324">
        <f t="shared" si="17"/>
        <v>8</v>
      </c>
      <c r="AH25" s="324">
        <f t="shared" si="17"/>
        <v>8</v>
      </c>
      <c r="AI25" s="324">
        <f t="shared" si="7"/>
        <v>0</v>
      </c>
      <c r="AJ25" s="324">
        <f t="shared" si="8"/>
        <v>0</v>
      </c>
      <c r="AK25" s="323">
        <f t="shared" ref="AK25:AK28" si="18">+AE25+AF25+AG25+AH25+AI25+AD25</f>
        <v>43</v>
      </c>
      <c r="AL25" s="323">
        <f t="shared" ref="AL25:AL29" si="19">VLOOKUP(AL15,$H$36:$Z$47,18,FALSE)</f>
        <v>8</v>
      </c>
      <c r="AM25" s="325">
        <f t="shared" ref="AM25:AM29" si="20">+AL25</f>
        <v>8</v>
      </c>
      <c r="AN25" s="326">
        <v>2</v>
      </c>
      <c r="AO25" s="327">
        <f t="shared" si="9"/>
        <v>168</v>
      </c>
      <c r="AP25" s="278"/>
    </row>
    <row r="26" spans="1:44" s="321" customFormat="1" ht="18.5">
      <c r="A26" s="282"/>
      <c r="B26" s="314" t="str">
        <f t="shared" si="0"/>
        <v>KAROL LIZETHE IBAÑEZ CAMPOS - GLOSAS</v>
      </c>
      <c r="C26" s="322">
        <f t="shared" si="1"/>
        <v>0</v>
      </c>
      <c r="D26" s="323">
        <f t="shared" si="1"/>
        <v>0</v>
      </c>
      <c r="E26" s="323">
        <f t="shared" si="10"/>
        <v>0</v>
      </c>
      <c r="F26" s="323">
        <f t="shared" si="11"/>
        <v>9</v>
      </c>
      <c r="G26" s="323">
        <f t="shared" si="11"/>
        <v>9</v>
      </c>
      <c r="H26" s="323">
        <f t="shared" si="11"/>
        <v>8</v>
      </c>
      <c r="I26" s="323">
        <f t="shared" si="11"/>
        <v>8</v>
      </c>
      <c r="J26" s="323">
        <f t="shared" si="12"/>
        <v>0</v>
      </c>
      <c r="K26" s="324">
        <f t="shared" si="12"/>
        <v>0</v>
      </c>
      <c r="L26" s="324">
        <f>VLOOKUP(L16,$H$37:$Z$47,18,FALSE)</f>
        <v>0</v>
      </c>
      <c r="M26" s="323">
        <f t="shared" ref="M26:M29" si="21">F26+G26+H26+I26+J26</f>
        <v>34</v>
      </c>
      <c r="N26" s="323">
        <f t="shared" si="13"/>
        <v>9</v>
      </c>
      <c r="O26" s="323">
        <f t="shared" si="13"/>
        <v>9</v>
      </c>
      <c r="P26" s="323">
        <f t="shared" si="13"/>
        <v>9</v>
      </c>
      <c r="Q26" s="323">
        <f t="shared" si="13"/>
        <v>9</v>
      </c>
      <c r="R26" s="323">
        <f t="shared" si="13"/>
        <v>8</v>
      </c>
      <c r="S26" s="324">
        <f>VLOOKUP(S16,$H$37:$Z$47,18,FALSE)</f>
        <v>0</v>
      </c>
      <c r="T26" s="324">
        <f t="shared" si="4"/>
        <v>0</v>
      </c>
      <c r="U26" s="323">
        <f>+N26+O26+P26+Q26+R26+S26</f>
        <v>44</v>
      </c>
      <c r="V26" s="324">
        <f t="shared" si="5"/>
        <v>0</v>
      </c>
      <c r="W26" s="323">
        <f t="shared" si="15"/>
        <v>10</v>
      </c>
      <c r="X26" s="323">
        <f t="shared" si="15"/>
        <v>10</v>
      </c>
      <c r="Y26" s="323">
        <f t="shared" si="15"/>
        <v>10</v>
      </c>
      <c r="Z26" s="323">
        <f t="shared" si="15"/>
        <v>8</v>
      </c>
      <c r="AA26" s="324">
        <f t="shared" si="6"/>
        <v>0</v>
      </c>
      <c r="AB26" s="324">
        <f t="shared" si="6"/>
        <v>0</v>
      </c>
      <c r="AC26" s="323">
        <f t="shared" si="16"/>
        <v>38</v>
      </c>
      <c r="AD26" s="324">
        <f>VLOOKUP(AD16,$H$36:$Z$47,18,FALSE)</f>
        <v>9</v>
      </c>
      <c r="AE26" s="324">
        <f t="shared" si="17"/>
        <v>9</v>
      </c>
      <c r="AF26" s="324">
        <f t="shared" si="17"/>
        <v>8</v>
      </c>
      <c r="AG26" s="324">
        <f t="shared" si="17"/>
        <v>8</v>
      </c>
      <c r="AH26" s="324">
        <f t="shared" si="17"/>
        <v>8</v>
      </c>
      <c r="AI26" s="324">
        <f t="shared" si="7"/>
        <v>0</v>
      </c>
      <c r="AJ26" s="324">
        <f t="shared" si="8"/>
        <v>0</v>
      </c>
      <c r="AK26" s="323">
        <f t="shared" si="18"/>
        <v>42</v>
      </c>
      <c r="AL26" s="323">
        <f t="shared" si="19"/>
        <v>8</v>
      </c>
      <c r="AM26" s="325">
        <f t="shared" si="20"/>
        <v>8</v>
      </c>
      <c r="AN26" s="326">
        <v>2</v>
      </c>
      <c r="AO26" s="327">
        <f t="shared" si="9"/>
        <v>168</v>
      </c>
      <c r="AP26" s="278"/>
    </row>
    <row r="27" spans="1:44" s="321" customFormat="1" ht="18.5">
      <c r="A27" s="282"/>
      <c r="B27" s="314" t="str">
        <f t="shared" si="0"/>
        <v>SEBASTIAN CAMILO CUBILLOS MEJIA  - RADICACION</v>
      </c>
      <c r="C27" s="322">
        <f>VLOOKUP(C17,$H$37:$Z$46,18,FALSE)</f>
        <v>0</v>
      </c>
      <c r="D27" s="323">
        <f>VLOOKUP(D17,$H$37:$Z$46,18,FALSE)</f>
        <v>0</v>
      </c>
      <c r="E27" s="323">
        <f t="shared" si="10"/>
        <v>0</v>
      </c>
      <c r="F27" s="323">
        <f t="shared" si="11"/>
        <v>8</v>
      </c>
      <c r="G27" s="323">
        <f t="shared" si="11"/>
        <v>8</v>
      </c>
      <c r="H27" s="323">
        <f t="shared" si="11"/>
        <v>8</v>
      </c>
      <c r="I27" s="323">
        <f t="shared" si="11"/>
        <v>8</v>
      </c>
      <c r="J27" s="323">
        <f t="shared" si="12"/>
        <v>0</v>
      </c>
      <c r="K27" s="324">
        <f t="shared" si="12"/>
        <v>0</v>
      </c>
      <c r="L27" s="324">
        <f>VLOOKUP(L17,$H$37:$Z$47,18,FALSE)</f>
        <v>0</v>
      </c>
      <c r="M27" s="323">
        <f t="shared" si="21"/>
        <v>32</v>
      </c>
      <c r="N27" s="323">
        <f t="shared" si="13"/>
        <v>8</v>
      </c>
      <c r="O27" s="323">
        <f t="shared" si="13"/>
        <v>9</v>
      </c>
      <c r="P27" s="323">
        <f t="shared" si="13"/>
        <v>8</v>
      </c>
      <c r="Q27" s="323">
        <f t="shared" si="13"/>
        <v>9</v>
      </c>
      <c r="R27" s="323">
        <f t="shared" si="13"/>
        <v>8</v>
      </c>
      <c r="S27" s="324">
        <f>VLOOKUP(S17,$H$37:$Z$47,18,FALSE)</f>
        <v>0</v>
      </c>
      <c r="T27" s="324">
        <f t="shared" si="4"/>
        <v>0</v>
      </c>
      <c r="U27" s="323">
        <f t="shared" si="14"/>
        <v>42</v>
      </c>
      <c r="V27" s="324">
        <f t="shared" si="5"/>
        <v>0</v>
      </c>
      <c r="W27" s="323">
        <f t="shared" si="15"/>
        <v>9</v>
      </c>
      <c r="X27" s="323">
        <f t="shared" si="15"/>
        <v>8</v>
      </c>
      <c r="Y27" s="323">
        <f t="shared" si="15"/>
        <v>9</v>
      </c>
      <c r="Z27" s="323">
        <f t="shared" si="15"/>
        <v>8</v>
      </c>
      <c r="AA27" s="324">
        <f t="shared" si="6"/>
        <v>0</v>
      </c>
      <c r="AB27" s="324">
        <f t="shared" si="6"/>
        <v>0</v>
      </c>
      <c r="AC27" s="323">
        <f t="shared" si="16"/>
        <v>34</v>
      </c>
      <c r="AD27" s="324">
        <f>VLOOKUP(AD17,$H$36:$Z$47,18,FALSE)</f>
        <v>8</v>
      </c>
      <c r="AE27" s="324">
        <f t="shared" si="17"/>
        <v>9</v>
      </c>
      <c r="AF27" s="324">
        <f t="shared" si="17"/>
        <v>8</v>
      </c>
      <c r="AG27" s="324">
        <f t="shared" si="17"/>
        <v>9</v>
      </c>
      <c r="AH27" s="324">
        <f t="shared" si="17"/>
        <v>8</v>
      </c>
      <c r="AI27" s="324">
        <f t="shared" si="7"/>
        <v>8</v>
      </c>
      <c r="AJ27" s="324">
        <f t="shared" si="8"/>
        <v>0</v>
      </c>
      <c r="AK27" s="323">
        <f t="shared" si="18"/>
        <v>50</v>
      </c>
      <c r="AL27" s="323">
        <f t="shared" si="19"/>
        <v>8</v>
      </c>
      <c r="AM27" s="325">
        <f t="shared" si="20"/>
        <v>8</v>
      </c>
      <c r="AN27" s="326">
        <v>2</v>
      </c>
      <c r="AO27" s="327">
        <f t="shared" si="9"/>
        <v>168</v>
      </c>
      <c r="AP27" s="278"/>
    </row>
    <row r="28" spans="1:44" s="321" customFormat="1" ht="18.5">
      <c r="A28" s="282"/>
      <c r="B28" s="314" t="str">
        <f t="shared" si="0"/>
        <v>MIREYA MARTINEZ - RADICACION</v>
      </c>
      <c r="C28" s="322">
        <f>VLOOKUP(C18,$H$37:$Z$46,18,FALSE)</f>
        <v>0</v>
      </c>
      <c r="D28" s="323">
        <f>VLOOKUP(D18,$H$37:$Z$46,18,FALSE)</f>
        <v>0</v>
      </c>
      <c r="E28" s="323">
        <f t="shared" si="10"/>
        <v>0</v>
      </c>
      <c r="F28" s="323">
        <f t="shared" si="11"/>
        <v>8.5</v>
      </c>
      <c r="G28" s="323">
        <f t="shared" si="11"/>
        <v>8.5</v>
      </c>
      <c r="H28" s="323">
        <f t="shared" si="11"/>
        <v>8.5</v>
      </c>
      <c r="I28" s="323">
        <f t="shared" si="11"/>
        <v>8</v>
      </c>
      <c r="J28" s="323">
        <f t="shared" si="12"/>
        <v>0</v>
      </c>
      <c r="K28" s="324">
        <f t="shared" si="12"/>
        <v>0</v>
      </c>
      <c r="L28" s="324">
        <f>VLOOKUP(L18,$H$37:$Z$47,18,FALSE)</f>
        <v>0</v>
      </c>
      <c r="M28" s="323">
        <f t="shared" si="21"/>
        <v>33.5</v>
      </c>
      <c r="N28" s="323">
        <f t="shared" si="13"/>
        <v>8.5</v>
      </c>
      <c r="O28" s="323">
        <f t="shared" si="13"/>
        <v>8.5</v>
      </c>
      <c r="P28" s="323">
        <f t="shared" si="13"/>
        <v>8.5</v>
      </c>
      <c r="Q28" s="323">
        <f t="shared" si="13"/>
        <v>8.5</v>
      </c>
      <c r="R28" s="323">
        <f t="shared" si="13"/>
        <v>7.5</v>
      </c>
      <c r="S28" s="324">
        <f>VLOOKUP(S18,$H$37:$Z$47,18,FALSE)</f>
        <v>0</v>
      </c>
      <c r="T28" s="324">
        <f t="shared" si="4"/>
        <v>0</v>
      </c>
      <c r="U28" s="323">
        <f t="shared" si="14"/>
        <v>41.5</v>
      </c>
      <c r="V28" s="324">
        <f t="shared" si="5"/>
        <v>0</v>
      </c>
      <c r="W28" s="323">
        <f t="shared" si="15"/>
        <v>8.5</v>
      </c>
      <c r="X28" s="323">
        <f t="shared" si="15"/>
        <v>8.5</v>
      </c>
      <c r="Y28" s="323">
        <f t="shared" si="15"/>
        <v>8.5</v>
      </c>
      <c r="Z28" s="323">
        <f t="shared" si="15"/>
        <v>7.5</v>
      </c>
      <c r="AA28" s="324">
        <f t="shared" si="6"/>
        <v>0</v>
      </c>
      <c r="AB28" s="324">
        <f t="shared" si="6"/>
        <v>0</v>
      </c>
      <c r="AC28" s="323">
        <f t="shared" si="16"/>
        <v>33</v>
      </c>
      <c r="AD28" s="324">
        <f>VLOOKUP(AD18,$H$36:$Z$47,18,FALSE)</f>
        <v>8.5</v>
      </c>
      <c r="AE28" s="324">
        <f t="shared" si="17"/>
        <v>8.5</v>
      </c>
      <c r="AF28" s="324">
        <f t="shared" si="17"/>
        <v>8.5</v>
      </c>
      <c r="AG28" s="324">
        <f t="shared" si="17"/>
        <v>8.5</v>
      </c>
      <c r="AH28" s="324">
        <f t="shared" si="17"/>
        <v>7.5</v>
      </c>
      <c r="AI28" s="324">
        <f t="shared" si="7"/>
        <v>8</v>
      </c>
      <c r="AJ28" s="324">
        <f t="shared" si="8"/>
        <v>0</v>
      </c>
      <c r="AK28" s="323">
        <f t="shared" si="18"/>
        <v>49.5</v>
      </c>
      <c r="AL28" s="323">
        <f t="shared" si="19"/>
        <v>8.5</v>
      </c>
      <c r="AM28" s="325">
        <f t="shared" si="20"/>
        <v>8.5</v>
      </c>
      <c r="AN28" s="326">
        <v>2</v>
      </c>
      <c r="AO28" s="327">
        <f t="shared" si="9"/>
        <v>168</v>
      </c>
      <c r="AP28" s="278"/>
    </row>
    <row r="29" spans="1:44" s="321" customFormat="1" ht="22.5" customHeight="1" thickBot="1">
      <c r="A29" s="282"/>
      <c r="B29" s="328" t="str">
        <f t="shared" si="0"/>
        <v>GIOVANNY NICOLAS BUITRAGO SARMIENTO -  RADICACION</v>
      </c>
      <c r="C29" s="322">
        <f>VLOOKUP(C16,$H$37:$Z$47,18,FALSE)</f>
        <v>0</v>
      </c>
      <c r="D29" s="323">
        <f>VLOOKUP(D16,$H$37:$Z$47,18,FALSE)</f>
        <v>0</v>
      </c>
      <c r="E29" s="323">
        <f t="shared" si="10"/>
        <v>0</v>
      </c>
      <c r="F29" s="323">
        <f t="shared" si="11"/>
        <v>8</v>
      </c>
      <c r="G29" s="323">
        <f t="shared" si="11"/>
        <v>8</v>
      </c>
      <c r="H29" s="323">
        <f t="shared" si="11"/>
        <v>8</v>
      </c>
      <c r="I29" s="323">
        <f t="shared" si="11"/>
        <v>8</v>
      </c>
      <c r="J29" s="323">
        <f>VLOOKUP(J19,$H$37:$Z$47,18,FALSE)</f>
        <v>0</v>
      </c>
      <c r="K29" s="324">
        <f>VLOOKUP(K19,$H$37:$Z$47,18,FALSE)</f>
        <v>0</v>
      </c>
      <c r="L29" s="324">
        <f>VLOOKUP(L19,$H$37:$Z$47,18,FALSE)</f>
        <v>0</v>
      </c>
      <c r="M29" s="323">
        <f t="shared" si="21"/>
        <v>32</v>
      </c>
      <c r="N29" s="323">
        <f t="shared" si="13"/>
        <v>8</v>
      </c>
      <c r="O29" s="323">
        <f t="shared" si="13"/>
        <v>9</v>
      </c>
      <c r="P29" s="323">
        <f t="shared" si="13"/>
        <v>8</v>
      </c>
      <c r="Q29" s="323">
        <f t="shared" si="13"/>
        <v>9</v>
      </c>
      <c r="R29" s="323">
        <f t="shared" si="13"/>
        <v>8</v>
      </c>
      <c r="S29" s="324">
        <f>VLOOKUP(S19,$H$37:$Z$47,18,FALSE)</f>
        <v>0</v>
      </c>
      <c r="T29" s="324">
        <f t="shared" si="4"/>
        <v>0</v>
      </c>
      <c r="U29" s="323">
        <f t="shared" si="14"/>
        <v>42</v>
      </c>
      <c r="V29" s="324">
        <f t="shared" si="5"/>
        <v>0</v>
      </c>
      <c r="W29" s="323">
        <f t="shared" si="15"/>
        <v>9</v>
      </c>
      <c r="X29" s="323">
        <f t="shared" si="15"/>
        <v>8</v>
      </c>
      <c r="Y29" s="323">
        <f t="shared" si="15"/>
        <v>9</v>
      </c>
      <c r="Z29" s="323">
        <f t="shared" si="15"/>
        <v>8</v>
      </c>
      <c r="AA29" s="324">
        <f t="shared" si="6"/>
        <v>0</v>
      </c>
      <c r="AB29" s="324">
        <f t="shared" si="6"/>
        <v>0</v>
      </c>
      <c r="AC29" s="323">
        <f t="shared" si="16"/>
        <v>34</v>
      </c>
      <c r="AD29" s="324">
        <f t="shared" ref="AD29" si="22">VLOOKUP(AD19,$H$36:$Z$47,18,FALSE)</f>
        <v>8</v>
      </c>
      <c r="AE29" s="324">
        <f t="shared" si="17"/>
        <v>9</v>
      </c>
      <c r="AF29" s="324">
        <f t="shared" si="17"/>
        <v>8</v>
      </c>
      <c r="AG29" s="324">
        <f t="shared" si="17"/>
        <v>9</v>
      </c>
      <c r="AH29" s="324">
        <f t="shared" si="17"/>
        <v>8</v>
      </c>
      <c r="AI29" s="324">
        <f t="shared" si="7"/>
        <v>8</v>
      </c>
      <c r="AJ29" s="324">
        <f t="shared" si="8"/>
        <v>0</v>
      </c>
      <c r="AK29" s="323">
        <f>+AE29+AF29+AG29+AH29+AI29+AD29</f>
        <v>50</v>
      </c>
      <c r="AL29" s="323">
        <f t="shared" si="19"/>
        <v>8</v>
      </c>
      <c r="AM29" s="325">
        <f t="shared" si="20"/>
        <v>8</v>
      </c>
      <c r="AN29" s="326">
        <v>2</v>
      </c>
      <c r="AO29" s="327">
        <f t="shared" si="9"/>
        <v>168</v>
      </c>
      <c r="AP29" s="278"/>
    </row>
    <row r="30" spans="1:44" s="321" customFormat="1" ht="19" thickBot="1">
      <c r="A30" s="282"/>
      <c r="B30" s="329" t="s">
        <v>18</v>
      </c>
      <c r="C30" s="330">
        <f t="shared" ref="C30:G30" si="23">SUM(C24:C29)</f>
        <v>0</v>
      </c>
      <c r="D30" s="331">
        <f t="shared" si="23"/>
        <v>0</v>
      </c>
      <c r="E30" s="331"/>
      <c r="F30" s="331">
        <f t="shared" si="23"/>
        <v>51.5</v>
      </c>
      <c r="G30" s="331">
        <f t="shared" si="23"/>
        <v>51.5</v>
      </c>
      <c r="H30" s="331">
        <f t="shared" ref="H30:AL30" si="24">SUM(H24:H29)</f>
        <v>49.5</v>
      </c>
      <c r="I30" s="332">
        <f t="shared" si="24"/>
        <v>49</v>
      </c>
      <c r="J30" s="332">
        <f t="shared" si="24"/>
        <v>0</v>
      </c>
      <c r="K30" s="332">
        <f t="shared" si="24"/>
        <v>0</v>
      </c>
      <c r="L30" s="332">
        <f t="shared" si="24"/>
        <v>0</v>
      </c>
      <c r="M30" s="332"/>
      <c r="N30" s="332">
        <f t="shared" si="24"/>
        <v>51.5</v>
      </c>
      <c r="O30" s="332">
        <f t="shared" si="24"/>
        <v>53.5</v>
      </c>
      <c r="P30" s="332">
        <f t="shared" si="24"/>
        <v>51.5</v>
      </c>
      <c r="Q30" s="332">
        <f t="shared" si="24"/>
        <v>53.5</v>
      </c>
      <c r="R30" s="332">
        <f t="shared" si="24"/>
        <v>47.5</v>
      </c>
      <c r="S30" s="332">
        <f t="shared" si="24"/>
        <v>0</v>
      </c>
      <c r="T30" s="332">
        <f t="shared" si="24"/>
        <v>0</v>
      </c>
      <c r="U30" s="332"/>
      <c r="V30" s="332">
        <f t="shared" si="24"/>
        <v>0</v>
      </c>
      <c r="W30" s="332">
        <f t="shared" si="24"/>
        <v>55.5</v>
      </c>
      <c r="X30" s="332">
        <f t="shared" si="24"/>
        <v>53.5</v>
      </c>
      <c r="Y30" s="332">
        <f t="shared" si="24"/>
        <v>55.5</v>
      </c>
      <c r="Z30" s="332">
        <f t="shared" si="24"/>
        <v>47.5</v>
      </c>
      <c r="AA30" s="332">
        <f t="shared" si="24"/>
        <v>0</v>
      </c>
      <c r="AB30" s="332">
        <f t="shared" si="24"/>
        <v>0</v>
      </c>
      <c r="AC30" s="332"/>
      <c r="AD30" s="332">
        <f>SUM(AD24:AD29)</f>
        <v>51.5</v>
      </c>
      <c r="AE30" s="332">
        <f t="shared" si="24"/>
        <v>53.5</v>
      </c>
      <c r="AF30" s="332">
        <f t="shared" si="24"/>
        <v>49.5</v>
      </c>
      <c r="AG30" s="332">
        <f t="shared" si="24"/>
        <v>50.5</v>
      </c>
      <c r="AH30" s="332">
        <f t="shared" si="24"/>
        <v>47.5</v>
      </c>
      <c r="AI30" s="332">
        <f t="shared" si="24"/>
        <v>24</v>
      </c>
      <c r="AJ30" s="332">
        <f t="shared" si="24"/>
        <v>0</v>
      </c>
      <c r="AK30" s="332"/>
      <c r="AL30" s="332">
        <f t="shared" si="24"/>
        <v>48.5</v>
      </c>
      <c r="AM30" s="333"/>
      <c r="AN30" s="334">
        <f>SUM(AN24:AN29)</f>
        <v>12</v>
      </c>
      <c r="AO30" s="335"/>
      <c r="AP30" s="278"/>
    </row>
    <row r="31" spans="1:44" ht="15.5">
      <c r="A31" s="336"/>
      <c r="B31" s="336"/>
      <c r="C31" s="336"/>
      <c r="D31" s="336"/>
      <c r="E31" s="336"/>
      <c r="F31" s="336"/>
      <c r="G31" s="336"/>
      <c r="H31" s="336"/>
      <c r="I31" s="336"/>
      <c r="J31" s="336"/>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6"/>
      <c r="AI31" s="336"/>
      <c r="AJ31" s="336"/>
      <c r="AK31" s="336"/>
      <c r="AL31" s="336"/>
      <c r="AM31" s="336"/>
      <c r="AN31" s="336"/>
      <c r="AO31" s="336"/>
      <c r="AP31" s="337"/>
      <c r="AQ31" s="267"/>
      <c r="AR31" s="267"/>
    </row>
    <row r="32" spans="1:44" ht="74.25" customHeight="1">
      <c r="A32" s="336"/>
      <c r="B32" s="436" t="s">
        <v>19</v>
      </c>
      <c r="C32" s="436"/>
      <c r="D32" s="436"/>
      <c r="E32" s="436"/>
      <c r="F32" s="436"/>
      <c r="G32" s="436"/>
      <c r="H32" s="436"/>
      <c r="I32" s="436"/>
      <c r="J32" s="436"/>
      <c r="K32" s="436"/>
      <c r="L32" s="436"/>
      <c r="M32" s="436"/>
      <c r="N32" s="436"/>
      <c r="O32" s="436"/>
      <c r="P32" s="436"/>
      <c r="Q32" s="436"/>
      <c r="R32" s="436"/>
      <c r="S32" s="436"/>
      <c r="T32" s="436"/>
      <c r="U32" s="436"/>
      <c r="V32" s="436"/>
      <c r="W32" s="436"/>
      <c r="X32" s="436"/>
      <c r="Y32" s="436"/>
      <c r="Z32" s="436"/>
      <c r="AA32" s="436"/>
      <c r="AB32" s="436"/>
      <c r="AC32" s="436"/>
      <c r="AD32" s="436"/>
      <c r="AE32" s="436"/>
      <c r="AF32" s="436"/>
      <c r="AG32" s="436"/>
      <c r="AH32" s="436"/>
      <c r="AI32" s="436"/>
      <c r="AJ32" s="436"/>
      <c r="AK32" s="436"/>
      <c r="AL32" s="436"/>
      <c r="AM32" s="436"/>
      <c r="AN32" s="436"/>
      <c r="AO32" s="436"/>
      <c r="AP32" s="336"/>
      <c r="AQ32" s="336"/>
      <c r="AR32" s="336"/>
    </row>
    <row r="33" spans="1:44" ht="18.75" customHeight="1">
      <c r="A33" s="336"/>
      <c r="B33" s="339"/>
      <c r="C33" s="339"/>
      <c r="D33" s="339"/>
      <c r="E33" s="339"/>
      <c r="F33" s="339"/>
      <c r="G33" s="339"/>
      <c r="H33" s="340"/>
      <c r="I33" s="340"/>
      <c r="J33" s="340"/>
      <c r="K33" s="340"/>
      <c r="L33" s="340"/>
      <c r="M33" s="340"/>
      <c r="N33" s="340"/>
      <c r="O33" s="340"/>
      <c r="P33" s="340"/>
      <c r="Q33" s="340"/>
      <c r="R33" s="340"/>
      <c r="S33" s="340"/>
      <c r="T33" s="340"/>
      <c r="U33" s="340"/>
      <c r="V33" s="340"/>
      <c r="W33" s="340"/>
      <c r="X33" s="340"/>
      <c r="Y33" s="340"/>
      <c r="Z33" s="340"/>
      <c r="AA33" s="340"/>
      <c r="AB33" s="340"/>
      <c r="AC33" s="340"/>
      <c r="AD33" s="340"/>
      <c r="AE33" s="340"/>
      <c r="AF33" s="340"/>
      <c r="AG33" s="340"/>
      <c r="AH33" s="340"/>
      <c r="AI33" s="340"/>
      <c r="AJ33" s="340"/>
      <c r="AK33" s="340"/>
      <c r="AL33" s="340"/>
      <c r="AM33" s="340"/>
      <c r="AN33" s="340"/>
      <c r="AO33" s="340"/>
      <c r="AP33" s="338"/>
      <c r="AQ33" s="338"/>
      <c r="AR33" s="341"/>
    </row>
    <row r="34" spans="1:44" ht="30.75" customHeight="1">
      <c r="A34" s="336"/>
      <c r="B34" s="339"/>
      <c r="C34" s="339"/>
      <c r="D34" s="339"/>
      <c r="E34" s="339"/>
      <c r="F34" s="339"/>
      <c r="G34" s="339"/>
      <c r="H34" s="405" t="s">
        <v>20</v>
      </c>
      <c r="I34" s="406"/>
      <c r="J34" s="406"/>
      <c r="K34" s="406"/>
      <c r="L34" s="406"/>
      <c r="M34" s="406"/>
      <c r="N34" s="406"/>
      <c r="O34" s="406"/>
      <c r="P34" s="406"/>
      <c r="Q34" s="406"/>
      <c r="R34" s="406"/>
      <c r="S34" s="406"/>
      <c r="T34" s="406"/>
      <c r="U34" s="406"/>
      <c r="V34" s="406"/>
      <c r="W34" s="406"/>
      <c r="X34" s="406"/>
      <c r="Y34" s="406"/>
      <c r="Z34" s="407"/>
      <c r="AA34" s="342"/>
      <c r="AB34" s="342"/>
      <c r="AC34" s="342"/>
      <c r="AD34" s="343"/>
      <c r="AE34" s="344"/>
      <c r="AF34" s="344"/>
      <c r="AG34" s="344"/>
      <c r="AH34" s="344"/>
      <c r="AI34" s="344"/>
      <c r="AJ34" s="344"/>
      <c r="AK34" s="344"/>
      <c r="AL34" s="344"/>
      <c r="AM34" s="344"/>
      <c r="AN34" s="344"/>
      <c r="AO34" s="344"/>
      <c r="AP34" s="340"/>
      <c r="AQ34" s="340"/>
      <c r="AR34" s="337"/>
    </row>
    <row r="35" spans="1:44" ht="21">
      <c r="A35" s="336"/>
      <c r="B35" s="339"/>
      <c r="C35" s="339"/>
      <c r="D35" s="339"/>
      <c r="E35" s="339"/>
      <c r="F35" s="339"/>
      <c r="G35" s="339"/>
      <c r="H35" s="398" t="s">
        <v>21</v>
      </c>
      <c r="I35" s="398"/>
      <c r="J35" s="398"/>
      <c r="K35" s="398"/>
      <c r="L35" s="398"/>
      <c r="M35" s="398"/>
      <c r="N35" s="398"/>
      <c r="O35" s="398"/>
      <c r="P35" s="398"/>
      <c r="Q35" s="399" t="s">
        <v>22</v>
      </c>
      <c r="R35" s="399"/>
      <c r="S35" s="399" t="s">
        <v>23</v>
      </c>
      <c r="T35" s="399"/>
      <c r="U35" s="399" t="s">
        <v>24</v>
      </c>
      <c r="V35" s="399"/>
      <c r="W35" s="399" t="s">
        <v>23</v>
      </c>
      <c r="X35" s="399"/>
      <c r="Y35" s="398" t="s">
        <v>25</v>
      </c>
      <c r="Z35" s="398"/>
      <c r="AA35" s="342"/>
      <c r="AB35" s="397" t="s">
        <v>72</v>
      </c>
      <c r="AC35" s="397"/>
      <c r="AD35" s="397"/>
      <c r="AE35" s="344"/>
      <c r="AF35" s="344"/>
      <c r="AG35" s="344"/>
      <c r="AH35" s="344"/>
      <c r="AI35" s="344"/>
      <c r="AJ35" s="344"/>
      <c r="AK35" s="344"/>
      <c r="AL35" s="344"/>
      <c r="AM35" s="344"/>
      <c r="AN35" s="344"/>
      <c r="AO35" s="344"/>
      <c r="AP35" s="344"/>
      <c r="AQ35" s="344"/>
      <c r="AR35" s="344"/>
    </row>
    <row r="36" spans="1:44" ht="21">
      <c r="A36" s="336"/>
      <c r="B36" s="339"/>
      <c r="C36" s="339"/>
      <c r="D36" s="339"/>
      <c r="E36" s="339"/>
      <c r="F36" s="339"/>
      <c r="G36" s="339"/>
      <c r="H36" s="345" t="s">
        <v>13</v>
      </c>
      <c r="I36" s="380" t="s">
        <v>27</v>
      </c>
      <c r="J36" s="380"/>
      <c r="K36" s="380"/>
      <c r="L36" s="380"/>
      <c r="M36" s="380"/>
      <c r="N36" s="380"/>
      <c r="O36" s="380"/>
      <c r="P36" s="380"/>
      <c r="Q36" s="388">
        <v>0.25</v>
      </c>
      <c r="R36" s="388"/>
      <c r="S36" s="389">
        <v>0.5</v>
      </c>
      <c r="T36" s="389"/>
      <c r="U36" s="389">
        <v>0.54166666666666696</v>
      </c>
      <c r="V36" s="389"/>
      <c r="W36" s="389">
        <v>0.625</v>
      </c>
      <c r="X36" s="389"/>
      <c r="Y36" s="381">
        <v>8</v>
      </c>
      <c r="Z36" s="381"/>
      <c r="AA36" s="342"/>
      <c r="AB36" s="346">
        <f t="shared" ref="AB36:AB47" si="25">+S36-Q36</f>
        <v>0.25</v>
      </c>
      <c r="AC36" s="346">
        <f t="shared" ref="AC36:AC47" si="26">+W36-U36</f>
        <v>8.3333333333333037E-2</v>
      </c>
      <c r="AD36" s="347">
        <f t="shared" ref="AD36:AD47" si="27">+AC36+AB36</f>
        <v>0.33333333333333304</v>
      </c>
      <c r="AE36" s="344"/>
      <c r="AF36" s="344"/>
      <c r="AG36" s="344"/>
      <c r="AH36" s="344"/>
      <c r="AI36" s="344"/>
      <c r="AJ36" s="344"/>
      <c r="AK36" s="344"/>
      <c r="AL36" s="344"/>
      <c r="AM36" s="344"/>
      <c r="AN36" s="344"/>
      <c r="AO36" s="344"/>
      <c r="AP36" s="344"/>
      <c r="AQ36" s="344"/>
      <c r="AR36" s="344"/>
    </row>
    <row r="37" spans="1:44" ht="21">
      <c r="A37" s="336"/>
      <c r="B37" s="339"/>
      <c r="C37" s="339"/>
      <c r="D37" s="339"/>
      <c r="E37" s="339"/>
      <c r="F37" s="339"/>
      <c r="G37" s="339"/>
      <c r="H37" s="345" t="s">
        <v>17</v>
      </c>
      <c r="I37" s="380" t="s">
        <v>27</v>
      </c>
      <c r="J37" s="380"/>
      <c r="K37" s="380"/>
      <c r="L37" s="380"/>
      <c r="M37" s="380"/>
      <c r="N37" s="380"/>
      <c r="O37" s="380"/>
      <c r="P37" s="380"/>
      <c r="Q37" s="388">
        <v>0.25</v>
      </c>
      <c r="R37" s="388"/>
      <c r="S37" s="389">
        <v>0.5</v>
      </c>
      <c r="T37" s="389"/>
      <c r="U37" s="389">
        <v>0.54166666666666696</v>
      </c>
      <c r="V37" s="389"/>
      <c r="W37" s="389">
        <v>0.66666666666666696</v>
      </c>
      <c r="X37" s="389"/>
      <c r="Y37" s="381">
        <v>9</v>
      </c>
      <c r="Z37" s="381"/>
      <c r="AA37" s="342"/>
      <c r="AB37" s="346">
        <f t="shared" si="25"/>
        <v>0.25</v>
      </c>
      <c r="AC37" s="346">
        <f t="shared" si="26"/>
        <v>0.125</v>
      </c>
      <c r="AD37" s="347">
        <f t="shared" si="27"/>
        <v>0.375</v>
      </c>
      <c r="AE37" s="277"/>
      <c r="AF37" s="277"/>
      <c r="AG37" s="277"/>
      <c r="AH37" s="277"/>
      <c r="AI37" s="277"/>
      <c r="AJ37" s="277"/>
      <c r="AK37" s="277"/>
      <c r="AL37" s="277"/>
      <c r="AM37" s="277"/>
      <c r="AN37" s="277"/>
      <c r="AO37" s="277"/>
      <c r="AP37" s="277"/>
      <c r="AQ37" s="277"/>
      <c r="AR37" s="277"/>
    </row>
    <row r="38" spans="1:44" ht="21">
      <c r="A38" s="336"/>
      <c r="B38" s="339"/>
      <c r="C38" s="339"/>
      <c r="D38" s="339"/>
      <c r="E38" s="339"/>
      <c r="F38" s="339"/>
      <c r="G38" s="339"/>
      <c r="H38" s="345" t="s">
        <v>33</v>
      </c>
      <c r="I38" s="380" t="s">
        <v>27</v>
      </c>
      <c r="J38" s="380"/>
      <c r="K38" s="380"/>
      <c r="L38" s="380"/>
      <c r="M38" s="380"/>
      <c r="N38" s="380"/>
      <c r="O38" s="380"/>
      <c r="P38" s="380"/>
      <c r="Q38" s="388">
        <v>0.29166666666666702</v>
      </c>
      <c r="R38" s="388"/>
      <c r="S38" s="389">
        <v>0.54166666666666696</v>
      </c>
      <c r="T38" s="389"/>
      <c r="U38" s="389">
        <v>0.58333333333333304</v>
      </c>
      <c r="V38" s="389"/>
      <c r="W38" s="389">
        <v>0.66666666666666696</v>
      </c>
      <c r="X38" s="389"/>
      <c r="Y38" s="386">
        <v>8</v>
      </c>
      <c r="Z38" s="387"/>
      <c r="AA38" s="342"/>
      <c r="AB38" s="346">
        <f t="shared" si="25"/>
        <v>0.24999999999999994</v>
      </c>
      <c r="AC38" s="346">
        <f t="shared" si="26"/>
        <v>8.3333333333333925E-2</v>
      </c>
      <c r="AD38" s="347">
        <f t="shared" si="27"/>
        <v>0.33333333333333387</v>
      </c>
      <c r="AE38" s="277"/>
      <c r="AF38" s="277"/>
      <c r="AG38" s="277"/>
      <c r="AH38" s="277"/>
      <c r="AI38" s="277"/>
      <c r="AJ38" s="277"/>
      <c r="AK38" s="277"/>
      <c r="AL38" s="277"/>
      <c r="AM38" s="277"/>
      <c r="AN38" s="277"/>
      <c r="AO38" s="277"/>
      <c r="AP38" s="277"/>
      <c r="AQ38" s="277"/>
      <c r="AR38" s="277"/>
    </row>
    <row r="39" spans="1:44" ht="21">
      <c r="A39" s="336"/>
      <c r="B39" s="339"/>
      <c r="C39" s="339"/>
      <c r="D39" s="339"/>
      <c r="E39" s="339"/>
      <c r="F39" s="339"/>
      <c r="G39" s="339"/>
      <c r="H39" s="345" t="s">
        <v>32</v>
      </c>
      <c r="I39" s="380" t="s">
        <v>27</v>
      </c>
      <c r="J39" s="380"/>
      <c r="K39" s="380"/>
      <c r="L39" s="380"/>
      <c r="M39" s="380"/>
      <c r="N39" s="380"/>
      <c r="O39" s="380"/>
      <c r="P39" s="380"/>
      <c r="Q39" s="388">
        <v>0.29166666666666702</v>
      </c>
      <c r="R39" s="388"/>
      <c r="S39" s="389">
        <v>0.54166666666666663</v>
      </c>
      <c r="T39" s="389"/>
      <c r="U39" s="389">
        <v>0.58333333333333304</v>
      </c>
      <c r="V39" s="389"/>
      <c r="W39" s="389">
        <v>0.70833333333333337</v>
      </c>
      <c r="X39" s="389"/>
      <c r="Y39" s="381">
        <v>9</v>
      </c>
      <c r="Z39" s="381"/>
      <c r="AA39" s="342"/>
      <c r="AB39" s="346">
        <f t="shared" si="25"/>
        <v>0.24999999999999961</v>
      </c>
      <c r="AC39" s="346">
        <f t="shared" si="26"/>
        <v>0.12500000000000033</v>
      </c>
      <c r="AD39" s="347">
        <f t="shared" si="27"/>
        <v>0.37499999999999994</v>
      </c>
      <c r="AE39" s="277"/>
      <c r="AF39" s="277"/>
      <c r="AG39" s="277"/>
      <c r="AH39" s="277"/>
      <c r="AI39" s="277"/>
      <c r="AJ39" s="277"/>
      <c r="AK39" s="277"/>
      <c r="AL39" s="277"/>
      <c r="AM39" s="277"/>
      <c r="AN39" s="277"/>
      <c r="AO39" s="277"/>
      <c r="AP39" s="277"/>
      <c r="AQ39" s="277"/>
      <c r="AR39" s="277"/>
    </row>
    <row r="40" spans="1:44" ht="21">
      <c r="A40" s="336"/>
      <c r="B40" s="339"/>
      <c r="C40" s="339"/>
      <c r="D40" s="339"/>
      <c r="E40" s="339"/>
      <c r="F40" s="339"/>
      <c r="G40" s="339"/>
      <c r="H40" s="345" t="s">
        <v>73</v>
      </c>
      <c r="I40" s="380" t="s">
        <v>27</v>
      </c>
      <c r="J40" s="380"/>
      <c r="K40" s="380"/>
      <c r="L40" s="380"/>
      <c r="M40" s="380"/>
      <c r="N40" s="380"/>
      <c r="O40" s="380"/>
      <c r="P40" s="380"/>
      <c r="Q40" s="388">
        <v>0.29166666666666702</v>
      </c>
      <c r="R40" s="388"/>
      <c r="S40" s="389">
        <v>0.54166666666666696</v>
      </c>
      <c r="T40" s="389"/>
      <c r="U40" s="389">
        <v>0.58333333333333304</v>
      </c>
      <c r="V40" s="389"/>
      <c r="W40" s="389">
        <v>0.75</v>
      </c>
      <c r="X40" s="389"/>
      <c r="Y40" s="386">
        <v>10</v>
      </c>
      <c r="Z40" s="387"/>
      <c r="AA40" s="342"/>
      <c r="AB40" s="346">
        <f t="shared" si="25"/>
        <v>0.24999999999999994</v>
      </c>
      <c r="AC40" s="346">
        <f t="shared" si="26"/>
        <v>0.16666666666666696</v>
      </c>
      <c r="AD40" s="347">
        <f t="shared" si="27"/>
        <v>0.41666666666666691</v>
      </c>
      <c r="AE40" s="277"/>
      <c r="AF40" s="277"/>
      <c r="AG40" s="277"/>
      <c r="AH40" s="277"/>
      <c r="AI40" s="277"/>
      <c r="AJ40" s="277"/>
      <c r="AK40" s="277"/>
      <c r="AL40" s="277"/>
      <c r="AM40" s="277"/>
      <c r="AN40" s="277"/>
      <c r="AO40" s="277"/>
      <c r="AP40" s="277"/>
      <c r="AQ40" s="277"/>
      <c r="AR40" s="277"/>
    </row>
    <row r="41" spans="1:44" ht="21">
      <c r="A41" s="336"/>
      <c r="B41" s="339"/>
      <c r="C41" s="339"/>
      <c r="D41" s="339"/>
      <c r="E41" s="339"/>
      <c r="F41" s="339"/>
      <c r="G41" s="339"/>
      <c r="H41" s="345" t="s">
        <v>74</v>
      </c>
      <c r="I41" s="377" t="s">
        <v>27</v>
      </c>
      <c r="J41" s="378"/>
      <c r="K41" s="378"/>
      <c r="L41" s="378"/>
      <c r="M41" s="378"/>
      <c r="N41" s="378"/>
      <c r="O41" s="378"/>
      <c r="P41" s="379"/>
      <c r="Q41" s="393">
        <v>0.25</v>
      </c>
      <c r="R41" s="394"/>
      <c r="S41" s="395">
        <v>0.5</v>
      </c>
      <c r="T41" s="396"/>
      <c r="U41" s="395">
        <v>0.54166666666666696</v>
      </c>
      <c r="V41" s="396"/>
      <c r="W41" s="395">
        <v>0.70833333333333337</v>
      </c>
      <c r="X41" s="396"/>
      <c r="Y41" s="386">
        <v>10</v>
      </c>
      <c r="Z41" s="387"/>
      <c r="AA41" s="342"/>
      <c r="AB41" s="346">
        <f t="shared" si="25"/>
        <v>0.25</v>
      </c>
      <c r="AC41" s="346">
        <f t="shared" si="26"/>
        <v>0.16666666666666641</v>
      </c>
      <c r="AD41" s="347">
        <f t="shared" si="27"/>
        <v>0.41666666666666641</v>
      </c>
      <c r="AE41" s="277"/>
      <c r="AF41" s="277"/>
      <c r="AG41" s="277"/>
      <c r="AH41" s="277"/>
      <c r="AI41" s="277"/>
      <c r="AJ41" s="277"/>
      <c r="AK41" s="277"/>
      <c r="AL41" s="277"/>
      <c r="AM41" s="277"/>
      <c r="AN41" s="277"/>
      <c r="AO41" s="277"/>
      <c r="AP41" s="277"/>
      <c r="AQ41" s="277"/>
      <c r="AR41" s="277"/>
    </row>
    <row r="42" spans="1:44" ht="21">
      <c r="A42" s="336"/>
      <c r="B42" s="339"/>
      <c r="C42" s="339"/>
      <c r="D42" s="339"/>
      <c r="E42" s="339"/>
      <c r="F42" s="339"/>
      <c r="G42" s="339"/>
      <c r="H42" s="345" t="s">
        <v>67</v>
      </c>
      <c r="I42" s="377" t="s">
        <v>27</v>
      </c>
      <c r="J42" s="378"/>
      <c r="K42" s="378"/>
      <c r="L42" s="378"/>
      <c r="M42" s="378"/>
      <c r="N42" s="378"/>
      <c r="O42" s="378"/>
      <c r="P42" s="379"/>
      <c r="Q42" s="388">
        <v>0.3125</v>
      </c>
      <c r="R42" s="388"/>
      <c r="S42" s="389">
        <v>0.5</v>
      </c>
      <c r="T42" s="389"/>
      <c r="U42" s="389">
        <v>0.54166666666666696</v>
      </c>
      <c r="V42" s="389"/>
      <c r="W42" s="389">
        <v>0.66666666666666663</v>
      </c>
      <c r="X42" s="389"/>
      <c r="Y42" s="392">
        <v>7.5</v>
      </c>
      <c r="Z42" s="392"/>
      <c r="AA42" s="342"/>
      <c r="AB42" s="346">
        <f t="shared" si="25"/>
        <v>0.1875</v>
      </c>
      <c r="AC42" s="346">
        <f t="shared" si="26"/>
        <v>0.12499999999999967</v>
      </c>
      <c r="AD42" s="347">
        <f t="shared" si="27"/>
        <v>0.31249999999999967</v>
      </c>
      <c r="AE42" s="277"/>
      <c r="AF42" s="277"/>
      <c r="AG42" s="277"/>
      <c r="AH42" s="277"/>
      <c r="AI42" s="277"/>
      <c r="AJ42" s="277"/>
      <c r="AK42" s="277"/>
      <c r="AL42" s="277"/>
      <c r="AM42" s="277"/>
      <c r="AN42" s="277"/>
      <c r="AO42" s="277"/>
      <c r="AP42" s="277"/>
      <c r="AQ42" s="277"/>
      <c r="AR42" s="277"/>
    </row>
    <row r="43" spans="1:44" ht="21">
      <c r="A43" s="336"/>
      <c r="B43" s="339"/>
      <c r="C43" s="339"/>
      <c r="D43" s="339"/>
      <c r="E43" s="339"/>
      <c r="F43" s="339"/>
      <c r="G43" s="339"/>
      <c r="H43" s="345" t="s">
        <v>71</v>
      </c>
      <c r="I43" s="377" t="s">
        <v>27</v>
      </c>
      <c r="J43" s="378"/>
      <c r="K43" s="378"/>
      <c r="L43" s="378"/>
      <c r="M43" s="378"/>
      <c r="N43" s="378"/>
      <c r="O43" s="378"/>
      <c r="P43" s="379"/>
      <c r="Q43" s="388">
        <v>0.3125</v>
      </c>
      <c r="R43" s="388"/>
      <c r="S43" s="389">
        <v>0.54166666666666663</v>
      </c>
      <c r="T43" s="389"/>
      <c r="U43" s="389">
        <v>0.58333333333333337</v>
      </c>
      <c r="V43" s="389"/>
      <c r="W43" s="389">
        <v>0.70833333333333337</v>
      </c>
      <c r="X43" s="389"/>
      <c r="Y43" s="390">
        <v>8.5</v>
      </c>
      <c r="Z43" s="391"/>
      <c r="AA43" s="342"/>
      <c r="AB43" s="346">
        <f t="shared" si="25"/>
        <v>0.22916666666666663</v>
      </c>
      <c r="AC43" s="346">
        <f t="shared" si="26"/>
        <v>0.125</v>
      </c>
      <c r="AD43" s="347">
        <f t="shared" si="27"/>
        <v>0.35416666666666663</v>
      </c>
      <c r="AE43" s="277"/>
      <c r="AF43" s="277"/>
      <c r="AG43" s="277"/>
      <c r="AH43" s="277"/>
      <c r="AI43" s="277"/>
      <c r="AJ43" s="277"/>
      <c r="AK43" s="277"/>
      <c r="AL43" s="277"/>
      <c r="AM43" s="277"/>
      <c r="AN43" s="277"/>
      <c r="AO43" s="277"/>
      <c r="AP43" s="277"/>
      <c r="AQ43" s="277"/>
      <c r="AR43" s="277"/>
    </row>
    <row r="44" spans="1:44" ht="21">
      <c r="A44" s="336"/>
      <c r="B44" s="339"/>
      <c r="C44" s="339"/>
      <c r="D44" s="339"/>
      <c r="E44" s="339"/>
      <c r="F44" s="339"/>
      <c r="G44" s="339"/>
      <c r="H44" s="345" t="s">
        <v>75</v>
      </c>
      <c r="I44" s="377" t="s">
        <v>27</v>
      </c>
      <c r="J44" s="378"/>
      <c r="K44" s="378"/>
      <c r="L44" s="378"/>
      <c r="M44" s="378"/>
      <c r="N44" s="378"/>
      <c r="O44" s="378"/>
      <c r="P44" s="379"/>
      <c r="Q44" s="388">
        <v>0.33333333333333298</v>
      </c>
      <c r="R44" s="388"/>
      <c r="S44" s="389">
        <v>0.5</v>
      </c>
      <c r="T44" s="389"/>
      <c r="U44" s="389">
        <v>0.54166666666666696</v>
      </c>
      <c r="V44" s="389"/>
      <c r="W44" s="389">
        <v>0.70833333333333337</v>
      </c>
      <c r="X44" s="389"/>
      <c r="Y44" s="386">
        <v>8</v>
      </c>
      <c r="Z44" s="387"/>
      <c r="AA44" s="342"/>
      <c r="AB44" s="346">
        <f>+S44-Q44</f>
        <v>0.16666666666666702</v>
      </c>
      <c r="AC44" s="346">
        <f>+W44-U44</f>
        <v>0.16666666666666641</v>
      </c>
      <c r="AD44" s="347">
        <f>+AC44+AB44</f>
        <v>0.33333333333333343</v>
      </c>
      <c r="AE44" s="277"/>
      <c r="AF44" s="277"/>
      <c r="AG44" s="277"/>
      <c r="AH44" s="277"/>
      <c r="AI44" s="277"/>
      <c r="AJ44" s="277"/>
      <c r="AK44" s="277"/>
      <c r="AL44" s="277"/>
      <c r="AM44" s="277"/>
      <c r="AN44" s="277"/>
      <c r="AO44" s="277"/>
      <c r="AP44" s="277"/>
      <c r="AQ44" s="277"/>
      <c r="AR44" s="277"/>
    </row>
    <row r="45" spans="1:44" ht="21">
      <c r="A45" s="336"/>
      <c r="B45" s="339"/>
      <c r="C45" s="339"/>
      <c r="D45" s="339"/>
      <c r="E45" s="339"/>
      <c r="F45" s="339"/>
      <c r="G45" s="339"/>
      <c r="H45" s="345" t="s">
        <v>94</v>
      </c>
      <c r="I45" s="377" t="s">
        <v>27</v>
      </c>
      <c r="J45" s="378"/>
      <c r="K45" s="378"/>
      <c r="L45" s="378"/>
      <c r="M45" s="378"/>
      <c r="N45" s="378"/>
      <c r="O45" s="378"/>
      <c r="P45" s="379"/>
      <c r="AE45" s="348"/>
      <c r="AF45" s="348"/>
      <c r="AG45" s="348"/>
      <c r="AH45" s="348"/>
      <c r="AI45" s="348"/>
      <c r="AJ45" s="348"/>
      <c r="AK45" s="348"/>
      <c r="AL45" s="348"/>
      <c r="AM45" s="348"/>
      <c r="AN45" s="348"/>
      <c r="AO45" s="348"/>
      <c r="AP45" s="348"/>
      <c r="AQ45" s="348"/>
      <c r="AR45" s="336"/>
    </row>
    <row r="46" spans="1:44" ht="21">
      <c r="A46" s="336"/>
      <c r="B46" s="339"/>
      <c r="C46" s="339"/>
      <c r="D46" s="339"/>
      <c r="E46" s="339"/>
      <c r="F46" s="339"/>
      <c r="G46" s="339"/>
      <c r="H46" s="345" t="s">
        <v>8</v>
      </c>
      <c r="I46" s="380" t="s">
        <v>28</v>
      </c>
      <c r="J46" s="380"/>
      <c r="K46" s="380"/>
      <c r="L46" s="380"/>
      <c r="M46" s="380"/>
      <c r="N46" s="380"/>
      <c r="O46" s="380"/>
      <c r="P46" s="380"/>
      <c r="Q46" s="380"/>
      <c r="R46" s="380"/>
      <c r="S46" s="380"/>
      <c r="T46" s="380"/>
      <c r="U46" s="380"/>
      <c r="V46" s="380"/>
      <c r="W46" s="380"/>
      <c r="X46" s="380"/>
      <c r="Y46" s="381">
        <v>0</v>
      </c>
      <c r="Z46" s="381"/>
      <c r="AA46" s="342"/>
      <c r="AB46" s="346">
        <f t="shared" si="25"/>
        <v>0</v>
      </c>
      <c r="AC46" s="346">
        <f t="shared" si="26"/>
        <v>0</v>
      </c>
      <c r="AD46" s="347">
        <f t="shared" si="27"/>
        <v>0</v>
      </c>
      <c r="AE46" s="348"/>
      <c r="AF46" s="348"/>
      <c r="AG46" s="348"/>
      <c r="AH46" s="348"/>
      <c r="AI46" s="348"/>
      <c r="AJ46" s="348"/>
      <c r="AK46" s="348"/>
      <c r="AL46" s="348"/>
      <c r="AM46" s="348"/>
      <c r="AN46" s="348"/>
      <c r="AO46" s="348"/>
      <c r="AP46" s="348"/>
      <c r="AQ46" s="348"/>
      <c r="AR46" s="336"/>
    </row>
    <row r="47" spans="1:44" ht="21">
      <c r="A47" s="336"/>
      <c r="B47" s="339"/>
      <c r="C47" s="339"/>
      <c r="D47" s="339"/>
      <c r="E47" s="339"/>
      <c r="F47" s="339"/>
      <c r="G47" s="339"/>
      <c r="H47" s="349" t="s">
        <v>15</v>
      </c>
      <c r="I47" s="382" t="s">
        <v>95</v>
      </c>
      <c r="J47" s="383"/>
      <c r="K47" s="383"/>
      <c r="L47" s="383"/>
      <c r="M47" s="383"/>
      <c r="N47" s="383"/>
      <c r="O47" s="383"/>
      <c r="P47" s="383"/>
      <c r="Q47" s="383"/>
      <c r="R47" s="383"/>
      <c r="S47" s="383"/>
      <c r="T47" s="383"/>
      <c r="U47" s="383"/>
      <c r="V47" s="383"/>
      <c r="W47" s="383"/>
      <c r="X47" s="384"/>
      <c r="Y47" s="385">
        <v>2</v>
      </c>
      <c r="Z47" s="385"/>
      <c r="AA47" s="350"/>
      <c r="AB47" s="346">
        <f t="shared" si="25"/>
        <v>0</v>
      </c>
      <c r="AC47" s="346">
        <f t="shared" si="26"/>
        <v>0</v>
      </c>
      <c r="AD47" s="347">
        <f t="shared" si="27"/>
        <v>0</v>
      </c>
      <c r="AE47" s="348"/>
      <c r="AF47" s="348"/>
      <c r="AG47" s="348"/>
      <c r="AH47" s="348"/>
      <c r="AI47" s="348"/>
      <c r="AJ47" s="348"/>
      <c r="AK47" s="348"/>
      <c r="AL47" s="348"/>
      <c r="AM47" s="348"/>
      <c r="AN47" s="348"/>
      <c r="AO47" s="348"/>
      <c r="AP47" s="348"/>
      <c r="AQ47" s="348"/>
      <c r="AR47" s="336"/>
    </row>
    <row r="48" spans="1:44" ht="18.5">
      <c r="A48" s="336"/>
      <c r="B48" s="339"/>
      <c r="C48" s="339"/>
      <c r="D48" s="339"/>
      <c r="E48" s="339"/>
      <c r="F48" s="339"/>
      <c r="G48" s="339"/>
      <c r="H48" s="351"/>
      <c r="I48" s="352"/>
      <c r="J48" s="352"/>
      <c r="K48" s="352"/>
      <c r="L48" s="352"/>
      <c r="M48" s="352"/>
      <c r="N48" s="352"/>
      <c r="O48" s="352"/>
      <c r="P48" s="352"/>
      <c r="Q48" s="352"/>
      <c r="R48" s="352"/>
      <c r="S48" s="352"/>
      <c r="T48" s="352"/>
      <c r="U48" s="352"/>
      <c r="V48" s="352"/>
      <c r="W48" s="352"/>
      <c r="X48" s="352"/>
      <c r="Y48" s="353"/>
      <c r="Z48" s="353"/>
      <c r="AA48" s="348"/>
      <c r="AB48" s="354"/>
      <c r="AC48" s="354"/>
      <c r="AD48" s="355"/>
      <c r="AE48" s="348"/>
      <c r="AF48" s="348"/>
      <c r="AG48" s="348"/>
      <c r="AH48" s="348"/>
      <c r="AI48" s="348"/>
      <c r="AJ48" s="348"/>
      <c r="AK48" s="348"/>
      <c r="AL48" s="348"/>
      <c r="AM48" s="348"/>
      <c r="AN48" s="348"/>
      <c r="AO48" s="348"/>
      <c r="AP48" s="348"/>
      <c r="AQ48" s="348"/>
      <c r="AR48" s="336"/>
    </row>
    <row r="49" spans="1:45" ht="18.5">
      <c r="A49" s="336"/>
      <c r="B49" s="339"/>
      <c r="C49" s="339"/>
      <c r="D49" s="339"/>
      <c r="E49" s="339"/>
      <c r="F49" s="339"/>
      <c r="G49" s="339"/>
      <c r="H49" s="351"/>
      <c r="I49" s="352"/>
      <c r="J49" s="352"/>
      <c r="K49" s="352"/>
      <c r="L49" s="352"/>
      <c r="M49" s="352"/>
      <c r="N49" s="352"/>
      <c r="O49" s="352"/>
      <c r="P49" s="352"/>
      <c r="Q49" s="352"/>
      <c r="R49" s="352"/>
      <c r="S49" s="352"/>
      <c r="T49" s="352"/>
      <c r="U49" s="352"/>
      <c r="V49" s="352"/>
      <c r="W49" s="352"/>
      <c r="X49" s="352"/>
      <c r="Y49" s="353"/>
      <c r="Z49" s="353"/>
      <c r="AA49" s="348"/>
      <c r="AB49" s="354"/>
      <c r="AC49" s="354"/>
      <c r="AD49" s="355"/>
      <c r="AE49" s="348"/>
      <c r="AF49" s="348"/>
      <c r="AG49" s="348"/>
      <c r="AH49" s="348"/>
      <c r="AI49" s="348"/>
      <c r="AJ49" s="348"/>
      <c r="AK49" s="348"/>
      <c r="AL49" s="348"/>
      <c r="AM49" s="348"/>
      <c r="AN49" s="348"/>
      <c r="AO49" s="348"/>
      <c r="AP49" s="348"/>
      <c r="AQ49" s="348"/>
      <c r="AR49" s="336"/>
    </row>
    <row r="50" spans="1:45" ht="18.5">
      <c r="A50" s="336"/>
      <c r="B50" s="339"/>
      <c r="C50" s="339"/>
      <c r="D50" s="339"/>
      <c r="E50" s="339"/>
      <c r="F50" s="339"/>
      <c r="G50" s="339"/>
      <c r="H50" s="351"/>
      <c r="I50" s="352"/>
      <c r="J50" s="352"/>
      <c r="K50" s="352"/>
      <c r="L50" s="352"/>
      <c r="M50" s="352"/>
      <c r="N50" s="352"/>
      <c r="O50" s="352"/>
      <c r="P50" s="352"/>
      <c r="Q50" s="352"/>
      <c r="R50" s="352"/>
      <c r="S50" s="352"/>
      <c r="T50" s="352"/>
      <c r="U50" s="352"/>
      <c r="V50" s="352"/>
      <c r="W50" s="352"/>
      <c r="X50" s="352"/>
      <c r="Y50" s="353"/>
      <c r="Z50" s="353"/>
      <c r="AA50" s="348"/>
      <c r="AB50" s="354"/>
      <c r="AC50" s="354"/>
      <c r="AD50" s="355"/>
      <c r="AE50" s="348"/>
      <c r="AF50" s="348"/>
      <c r="AG50" s="348"/>
      <c r="AH50" s="348"/>
      <c r="AI50" s="348"/>
      <c r="AJ50" s="348"/>
      <c r="AK50" s="348"/>
      <c r="AL50" s="348"/>
      <c r="AM50" s="348"/>
      <c r="AN50" s="274"/>
      <c r="AO50" s="274"/>
      <c r="AP50" s="348"/>
      <c r="AQ50" s="348"/>
      <c r="AR50" s="336"/>
    </row>
    <row r="51" spans="1:45" ht="18.5">
      <c r="A51" s="274"/>
      <c r="B51" s="274"/>
      <c r="C51" s="274"/>
      <c r="D51" s="274"/>
      <c r="E51" s="274"/>
      <c r="F51" s="274"/>
      <c r="G51" s="274"/>
      <c r="H51" s="351"/>
      <c r="I51" s="352"/>
      <c r="J51" s="352"/>
      <c r="K51" s="352"/>
      <c r="L51" s="352"/>
      <c r="M51" s="352"/>
      <c r="N51" s="352"/>
      <c r="O51" s="352"/>
      <c r="P51" s="352"/>
      <c r="Q51" s="352"/>
      <c r="R51" s="352"/>
      <c r="S51" s="352"/>
      <c r="T51" s="352"/>
      <c r="U51" s="352"/>
      <c r="V51" s="352"/>
      <c r="W51" s="352"/>
      <c r="X51" s="352"/>
      <c r="Y51" s="353"/>
      <c r="Z51" s="353"/>
      <c r="AA51" s="348"/>
      <c r="AB51" s="354"/>
      <c r="AC51" s="354"/>
      <c r="AD51" s="355"/>
      <c r="AE51" s="348"/>
      <c r="AF51" s="348"/>
      <c r="AG51" s="348"/>
      <c r="AH51" s="348"/>
      <c r="AI51" s="348"/>
      <c r="AJ51" s="348"/>
      <c r="AK51" s="348"/>
      <c r="AL51" s="348"/>
      <c r="AM51" s="348"/>
      <c r="AN51" s="356"/>
      <c r="AO51" s="356"/>
      <c r="AP51" s="274"/>
      <c r="AQ51" s="274"/>
      <c r="AR51" s="274"/>
    </row>
    <row r="52" spans="1:45" ht="15.5">
      <c r="A52" s="356"/>
      <c r="B52" s="274"/>
      <c r="C52" s="274"/>
      <c r="D52" s="274"/>
      <c r="E52" s="274"/>
      <c r="F52" s="274"/>
      <c r="G52" s="274"/>
      <c r="H52" s="357"/>
      <c r="I52" s="358"/>
      <c r="J52" s="358"/>
      <c r="K52" s="358"/>
      <c r="L52" s="358"/>
      <c r="M52" s="358"/>
      <c r="N52" s="358"/>
      <c r="O52" s="358"/>
      <c r="P52" s="358"/>
      <c r="Q52" s="358"/>
      <c r="R52" s="358"/>
      <c r="S52" s="358"/>
      <c r="T52" s="358"/>
      <c r="U52" s="358"/>
      <c r="V52" s="358"/>
      <c r="W52" s="358"/>
      <c r="X52" s="358"/>
      <c r="Y52" s="359"/>
      <c r="Z52" s="359"/>
      <c r="AA52" s="348"/>
      <c r="AB52" s="348"/>
      <c r="AC52" s="348"/>
      <c r="AD52" s="348"/>
      <c r="AE52" s="274"/>
      <c r="AF52" s="274"/>
      <c r="AG52" s="274"/>
      <c r="AH52" s="274"/>
      <c r="AI52" s="274"/>
      <c r="AJ52" s="274"/>
      <c r="AK52" s="274"/>
      <c r="AL52" s="274"/>
      <c r="AM52" s="274"/>
      <c r="AN52" s="360"/>
      <c r="AO52" s="360"/>
      <c r="AP52" s="356"/>
      <c r="AQ52" s="356"/>
      <c r="AR52" s="356"/>
    </row>
    <row r="53" spans="1:45" ht="15.5">
      <c r="A53" s="361"/>
      <c r="B53" s="274"/>
      <c r="C53" s="274"/>
      <c r="D53" s="274"/>
      <c r="E53" s="274"/>
      <c r="F53" s="274"/>
      <c r="G53" s="274"/>
      <c r="H53" s="357"/>
      <c r="I53" s="358"/>
      <c r="J53" s="358"/>
      <c r="K53" s="358"/>
      <c r="L53" s="358"/>
      <c r="M53" s="358"/>
      <c r="N53" s="358"/>
      <c r="O53" s="358"/>
      <c r="P53" s="358"/>
      <c r="Q53"/>
      <c r="R53" s="358"/>
      <c r="S53" s="358"/>
      <c r="T53" s="358"/>
      <c r="U53" s="358"/>
      <c r="V53" s="359"/>
      <c r="Z53" s="359"/>
      <c r="AA53" s="348"/>
      <c r="AB53" s="348"/>
      <c r="AC53" s="348"/>
      <c r="AD53" s="348"/>
      <c r="AE53" s="274"/>
      <c r="AF53" s="274"/>
      <c r="AG53" s="274"/>
      <c r="AH53" s="274"/>
      <c r="AI53" s="274"/>
      <c r="AJ53" s="274"/>
      <c r="AK53" s="274"/>
      <c r="AL53" s="274"/>
      <c r="AM53" s="274"/>
      <c r="AN53" s="362"/>
      <c r="AO53" s="362"/>
      <c r="AQ53" s="363"/>
      <c r="AR53" s="361"/>
    </row>
    <row r="54" spans="1:45" ht="15.5">
      <c r="A54" s="356"/>
      <c r="B54" s="267"/>
      <c r="C54" s="267"/>
      <c r="D54" s="267"/>
      <c r="E54" s="267"/>
      <c r="F54" s="267"/>
      <c r="G54" s="267"/>
      <c r="H54" s="336"/>
      <c r="I54" s="364"/>
      <c r="J54" s="364"/>
      <c r="K54" s="364"/>
      <c r="L54" s="364"/>
      <c r="M54" s="364"/>
      <c r="N54" s="274"/>
      <c r="O54" s="274"/>
      <c r="P54" s="274"/>
      <c r="Q54" s="274"/>
      <c r="R54" s="274"/>
      <c r="S54" s="274"/>
      <c r="T54" s="274"/>
      <c r="U54" s="274"/>
      <c r="V54" s="364"/>
      <c r="Z54" s="279"/>
      <c r="AA54" s="274"/>
      <c r="AB54" s="274"/>
      <c r="AC54" s="274"/>
      <c r="AD54" s="274"/>
      <c r="AE54" s="274"/>
      <c r="AF54" s="274"/>
      <c r="AG54" s="274"/>
      <c r="AH54" s="274"/>
      <c r="AI54" s="274"/>
      <c r="AJ54" s="274"/>
      <c r="AK54" s="274"/>
      <c r="AL54" s="274"/>
      <c r="AM54" s="274"/>
      <c r="AQ54" s="356"/>
      <c r="AR54" s="356"/>
    </row>
    <row r="55" spans="1:45" ht="16" thickBot="1">
      <c r="B55" s="365"/>
      <c r="C55" s="366"/>
      <c r="D55" s="366"/>
      <c r="E55" s="366"/>
      <c r="F55" s="366"/>
      <c r="G55" s="366"/>
      <c r="H55" s="356"/>
      <c r="I55" s="356"/>
      <c r="J55" s="356"/>
      <c r="K55" s="356"/>
      <c r="L55" s="356"/>
      <c r="M55" s="356"/>
      <c r="N55" s="367"/>
      <c r="O55" s="367"/>
      <c r="P55" s="367"/>
      <c r="Q55" s="367"/>
      <c r="R55" s="367"/>
      <c r="S55" s="367"/>
      <c r="T55" s="367"/>
      <c r="U55" s="367"/>
      <c r="V55" s="356"/>
      <c r="Z55" s="356"/>
      <c r="AA55" s="356"/>
      <c r="AB55" s="356"/>
      <c r="AC55" s="368"/>
      <c r="AD55" s="369"/>
      <c r="AE55" s="369"/>
      <c r="AF55" s="369"/>
      <c r="AG55" s="369"/>
      <c r="AH55" s="369"/>
      <c r="AI55" s="369"/>
      <c r="AJ55" s="369"/>
      <c r="AK55" s="369"/>
      <c r="AL55" s="369"/>
      <c r="AM55" s="369"/>
    </row>
    <row r="56" spans="1:45" s="264" customFormat="1" ht="18.5">
      <c r="B56" s="370" t="s">
        <v>30</v>
      </c>
      <c r="C56" s="370"/>
      <c r="D56" s="370"/>
      <c r="E56" s="370"/>
      <c r="F56" s="370"/>
      <c r="G56" s="370"/>
      <c r="H56" s="361"/>
      <c r="I56" s="361"/>
      <c r="J56" s="361"/>
      <c r="K56" s="361"/>
      <c r="L56" s="361"/>
      <c r="M56" s="363"/>
      <c r="N56" s="371" t="s">
        <v>96</v>
      </c>
      <c r="O56" s="363"/>
      <c r="P56" s="363"/>
      <c r="Q56" s="363"/>
      <c r="R56" s="363"/>
      <c r="S56" s="363"/>
      <c r="T56" s="363"/>
      <c r="U56" s="356"/>
      <c r="V56" s="356"/>
      <c r="Z56" s="356"/>
      <c r="AA56" s="363"/>
      <c r="AB56" s="363"/>
      <c r="AC56" s="368"/>
      <c r="AE56" s="372"/>
      <c r="AH56" s="372" t="s">
        <v>100</v>
      </c>
      <c r="AI56" s="372"/>
      <c r="AJ56" s="372"/>
      <c r="AK56" s="372"/>
      <c r="AL56" s="372"/>
      <c r="AM56" s="372"/>
      <c r="AS56" s="267"/>
    </row>
    <row r="57" spans="1:45" ht="18.5">
      <c r="B57" s="373" t="s">
        <v>97</v>
      </c>
      <c r="C57" s="373"/>
      <c r="D57" s="373"/>
      <c r="E57" s="373"/>
      <c r="F57" s="373"/>
      <c r="G57" s="373"/>
      <c r="H57" s="356"/>
      <c r="I57" s="356"/>
      <c r="J57" s="356"/>
      <c r="K57" s="356"/>
      <c r="L57" s="356"/>
      <c r="M57" s="356"/>
      <c r="N57" s="374" t="s">
        <v>98</v>
      </c>
      <c r="O57" s="356"/>
      <c r="P57" s="356"/>
      <c r="Q57" s="356"/>
      <c r="R57" s="356"/>
      <c r="S57" s="363"/>
      <c r="T57" s="363"/>
      <c r="U57" s="356"/>
      <c r="V57" s="356"/>
      <c r="Z57" s="356"/>
      <c r="AA57" s="356"/>
      <c r="AB57" s="356"/>
      <c r="AC57" s="375"/>
      <c r="AD57" s="356" t="s">
        <v>99</v>
      </c>
      <c r="AE57" s="356"/>
      <c r="AF57" s="356"/>
      <c r="AG57" s="356"/>
      <c r="AH57" s="356"/>
      <c r="AI57" s="356"/>
      <c r="AJ57" s="356"/>
      <c r="AK57" s="356"/>
      <c r="AL57" s="356"/>
      <c r="AM57" s="356"/>
    </row>
    <row r="58" spans="1:45">
      <c r="I58" s="268"/>
      <c r="J58" s="268"/>
      <c r="K58" s="268"/>
      <c r="L58" s="268"/>
      <c r="M58" s="268"/>
      <c r="W58" s="268"/>
      <c r="X58" s="268"/>
      <c r="Y58" s="268"/>
    </row>
    <row r="59" spans="1:45">
      <c r="H59" s="268"/>
    </row>
  </sheetData>
  <mergeCells count="78">
    <mergeCell ref="AO11:AO13"/>
    <mergeCell ref="B12:B13"/>
    <mergeCell ref="H34:Z34"/>
    <mergeCell ref="B2:G5"/>
    <mergeCell ref="H2:AN5"/>
    <mergeCell ref="C11:AM11"/>
    <mergeCell ref="AN11:AN13"/>
    <mergeCell ref="C21:AM21"/>
    <mergeCell ref="B22:B23"/>
    <mergeCell ref="AN22:AN23"/>
    <mergeCell ref="AO22:AO23"/>
    <mergeCell ref="B32:AO32"/>
    <mergeCell ref="AB35:AD35"/>
    <mergeCell ref="I36:P36"/>
    <mergeCell ref="Q36:R36"/>
    <mergeCell ref="S36:T36"/>
    <mergeCell ref="U36:V36"/>
    <mergeCell ref="W36:X36"/>
    <mergeCell ref="Y36:Z36"/>
    <mergeCell ref="H35:P35"/>
    <mergeCell ref="Q35:R35"/>
    <mergeCell ref="S35:T35"/>
    <mergeCell ref="U35:V35"/>
    <mergeCell ref="W35:X35"/>
    <mergeCell ref="Y35:Z35"/>
    <mergeCell ref="Y38:Z38"/>
    <mergeCell ref="I37:P37"/>
    <mergeCell ref="Q37:R37"/>
    <mergeCell ref="S37:T37"/>
    <mergeCell ref="U37:V37"/>
    <mergeCell ref="W37:X37"/>
    <mergeCell ref="Y37:Z37"/>
    <mergeCell ref="I38:P38"/>
    <mergeCell ref="Q38:R38"/>
    <mergeCell ref="S38:T38"/>
    <mergeCell ref="U38:V38"/>
    <mergeCell ref="W38:X38"/>
    <mergeCell ref="Y40:Z40"/>
    <mergeCell ref="I39:P39"/>
    <mergeCell ref="Q39:R39"/>
    <mergeCell ref="S39:T39"/>
    <mergeCell ref="U39:V39"/>
    <mergeCell ref="W39:X39"/>
    <mergeCell ref="Y39:Z39"/>
    <mergeCell ref="I40:P40"/>
    <mergeCell ref="Q40:R40"/>
    <mergeCell ref="S40:T40"/>
    <mergeCell ref="U40:V40"/>
    <mergeCell ref="W40:X40"/>
    <mergeCell ref="Y42:Z42"/>
    <mergeCell ref="I41:P41"/>
    <mergeCell ref="Q41:R41"/>
    <mergeCell ref="S41:T41"/>
    <mergeCell ref="U41:V41"/>
    <mergeCell ref="W41:X41"/>
    <mergeCell ref="Y41:Z41"/>
    <mergeCell ref="I42:P42"/>
    <mergeCell ref="Q42:R42"/>
    <mergeCell ref="S42:T42"/>
    <mergeCell ref="U42:V42"/>
    <mergeCell ref="W42:X42"/>
    <mergeCell ref="Y44:Z44"/>
    <mergeCell ref="I43:P43"/>
    <mergeCell ref="Q43:R43"/>
    <mergeCell ref="S43:T43"/>
    <mergeCell ref="U43:V43"/>
    <mergeCell ref="W43:X43"/>
    <mergeCell ref="Y43:Z43"/>
    <mergeCell ref="I44:P44"/>
    <mergeCell ref="Q44:R44"/>
    <mergeCell ref="S44:T44"/>
    <mergeCell ref="U44:V44"/>
    <mergeCell ref="W44:X44"/>
    <mergeCell ref="I45:P45"/>
    <mergeCell ref="I46:X46"/>
    <mergeCell ref="Y46:Z46"/>
    <mergeCell ref="I47:X47"/>
    <mergeCell ref="Y47:Z47"/>
  </mergeCells>
  <conditionalFormatting sqref="C14:AM19">
    <cfRule type="containsText" dxfId="8" priority="9" operator="containsText" text="L">
      <formula>NOT(ISERROR(SEARCH("L",C14)))</formula>
    </cfRule>
  </conditionalFormatting>
  <conditionalFormatting sqref="U13">
    <cfRule type="containsText" dxfId="7" priority="4" operator="containsText" text="L">
      <formula>NOT(ISERROR(SEARCH("L",U13)))</formula>
    </cfRule>
  </conditionalFormatting>
  <conditionalFormatting sqref="U23">
    <cfRule type="containsText" dxfId="6" priority="8" operator="containsText" text="L">
      <formula>NOT(ISERROR(SEARCH("L",U23)))</formula>
    </cfRule>
  </conditionalFormatting>
  <conditionalFormatting sqref="AC13">
    <cfRule type="containsText" dxfId="5" priority="3" operator="containsText" text="L">
      <formula>NOT(ISERROR(SEARCH("L",AC13)))</formula>
    </cfRule>
  </conditionalFormatting>
  <conditionalFormatting sqref="AC23">
    <cfRule type="containsText" dxfId="4" priority="7" operator="containsText" text="L">
      <formula>NOT(ISERROR(SEARCH("L",AC23)))</formula>
    </cfRule>
  </conditionalFormatting>
  <conditionalFormatting sqref="AK13">
    <cfRule type="containsText" dxfId="3" priority="2" operator="containsText" text="L">
      <formula>NOT(ISERROR(SEARCH("L",AK13)))</formula>
    </cfRule>
  </conditionalFormatting>
  <conditionalFormatting sqref="AK23">
    <cfRule type="containsText" dxfId="2" priority="6" operator="containsText" text="L">
      <formula>NOT(ISERROR(SEARCH("L",AK23)))</formula>
    </cfRule>
  </conditionalFormatting>
  <conditionalFormatting sqref="AM13">
    <cfRule type="containsText" dxfId="1" priority="1" operator="containsText" text="L">
      <formula>NOT(ISERROR(SEARCH("L",AM13)))</formula>
    </cfRule>
  </conditionalFormatting>
  <conditionalFormatting sqref="AM23">
    <cfRule type="containsText" dxfId="0" priority="5" operator="containsText" text="L">
      <formula>NOT(ISERROR(SEARCH("L",AM23)))</formula>
    </cfRule>
  </conditionalFormatting>
  <pageMargins left="0.32" right="0.7" top="0.75" bottom="0.56000000000000005" header="0.3" footer="0.3"/>
  <pageSetup paperSize="9" scale="28" orientation="landscape" r:id="rId1"/>
  <colBreaks count="1" manualBreakCount="1">
    <brk id="43" max="52"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3</vt:i4>
      </vt:variant>
    </vt:vector>
  </HeadingPairs>
  <TitlesOfParts>
    <vt:vector size="9" baseType="lpstr">
      <vt:lpstr>URGENCIAS</vt:lpstr>
      <vt:lpstr>CONSULTA EXTERNA</vt:lpstr>
      <vt:lpstr>FACTURACIÓN</vt:lpstr>
      <vt:lpstr>SUPERNUMERARIA</vt:lpstr>
      <vt:lpstr>AUDITORIA</vt:lpstr>
      <vt:lpstr>RADICACIÓN</vt:lpstr>
      <vt:lpstr>'CONSULTA EXTERNA'!Área_de_impresión</vt:lpstr>
      <vt:lpstr>RADICACIÓN!Área_de_impresión</vt:lpstr>
      <vt:lpstr>URGENCIAS!Área_de_impresión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Directora de Facturación</dc:creator>
  <cp:lastModifiedBy>Nicolás Fernando Bedoya Mejía</cp:lastModifiedBy>
  <cp:lastPrinted>2026-04-27T21:02:00Z</cp:lastPrinted>
  <dcterms:created xsi:type="dcterms:W3CDTF">2025-07-16T19:27:00Z</dcterms:created>
  <dcterms:modified xsi:type="dcterms:W3CDTF">2026-07-31T21:01:47Z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13D379DCC4794B139524C90C08E94B42_13</vt:lpwstr>
  </property>
  <property fmtid="{D5CDD505-2E9C-101B-9397-08002B2CF9AE}" pid="3" name="KSOProductBuildVer">
    <vt:lpwstr>2058-12.1.0.26372</vt:lpwstr>
  </property>
  <property fmtid="{D5CDD505-2E9C-101B-9397-08002B2CF9AE}" pid="4" name="CalculationRule">
    <vt:i4>0</vt:i4>
  </property>
</Properties>
</file>