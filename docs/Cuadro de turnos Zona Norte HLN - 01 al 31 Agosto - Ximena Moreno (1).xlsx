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be179f5566a80cf/Mundo Salud Médica/PROYECTO MSM/Programacion_Turnos/"/>
    </mc:Choice>
  </mc:AlternateContent>
  <xr:revisionPtr revIDLastSave="2" documentId="8_{3BB5CA15-04EE-4374-9265-075BB54E76DA}" xr6:coauthVersionLast="47" xr6:coauthVersionMax="47" xr10:uidLastSave="{1D74C41C-2828-49EB-A4A3-AE9EC2BAB7CF}"/>
  <bookViews>
    <workbookView xWindow="-34980" yWindow="1590" windowWidth="28800" windowHeight="15370" xr2:uid="{00000000-000D-0000-FFFF-FFFF00000000}"/>
  </bookViews>
  <sheets>
    <sheet name="caja externa HLN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24" i="4" l="1"/>
  <c r="R23" i="4"/>
  <c r="M23" i="4"/>
  <c r="M22" i="4"/>
  <c r="M21" i="4"/>
  <c r="M20" i="4"/>
  <c r="F22" i="4"/>
  <c r="M24" i="4" l="1"/>
  <c r="AK21" i="4" l="1"/>
  <c r="AK22" i="4"/>
  <c r="AK23" i="4"/>
  <c r="AK20" i="4"/>
  <c r="AI21" i="4"/>
  <c r="AI22" i="4"/>
  <c r="AI23" i="4"/>
  <c r="AI20" i="4"/>
  <c r="AH21" i="4"/>
  <c r="AH22" i="4"/>
  <c r="AH23" i="4"/>
  <c r="AH20" i="4"/>
  <c r="AG21" i="4"/>
  <c r="AG22" i="4"/>
  <c r="AG23" i="4"/>
  <c r="AG20" i="4"/>
  <c r="AF21" i="4"/>
  <c r="AF22" i="4"/>
  <c r="AF23" i="4"/>
  <c r="AF20" i="4"/>
  <c r="AE21" i="4"/>
  <c r="AE22" i="4"/>
  <c r="AE23" i="4"/>
  <c r="AE20" i="4"/>
  <c r="AD21" i="4"/>
  <c r="AD22" i="4"/>
  <c r="AD23" i="4"/>
  <c r="AD20" i="4"/>
  <c r="AC21" i="4"/>
  <c r="AC22" i="4"/>
  <c r="AC23" i="4"/>
  <c r="AC20" i="4"/>
  <c r="AA21" i="4"/>
  <c r="AA22" i="4"/>
  <c r="AA23" i="4"/>
  <c r="AA20" i="4"/>
  <c r="Z21" i="4"/>
  <c r="Z22" i="4"/>
  <c r="Z23" i="4"/>
  <c r="Z20" i="4"/>
  <c r="Y21" i="4"/>
  <c r="Y22" i="4"/>
  <c r="Y23" i="4"/>
  <c r="Y20" i="4"/>
  <c r="X21" i="4"/>
  <c r="X22" i="4"/>
  <c r="X23" i="4"/>
  <c r="X20" i="4"/>
  <c r="W21" i="4"/>
  <c r="W22" i="4"/>
  <c r="W23" i="4"/>
  <c r="W20" i="4"/>
  <c r="V21" i="4"/>
  <c r="V22" i="4"/>
  <c r="V23" i="4"/>
  <c r="V20" i="4"/>
  <c r="U21" i="4"/>
  <c r="U22" i="4"/>
  <c r="U23" i="4"/>
  <c r="U20" i="4"/>
  <c r="S21" i="4"/>
  <c r="S22" i="4"/>
  <c r="S23" i="4"/>
  <c r="S20" i="4"/>
  <c r="R21" i="4"/>
  <c r="R22" i="4"/>
  <c r="R20" i="4"/>
  <c r="Q21" i="4"/>
  <c r="Q22" i="4"/>
  <c r="Q23" i="4"/>
  <c r="P21" i="4"/>
  <c r="P22" i="4"/>
  <c r="P23" i="4"/>
  <c r="P20" i="4"/>
  <c r="Q20" i="4"/>
  <c r="O21" i="4"/>
  <c r="O22" i="4"/>
  <c r="O23" i="4"/>
  <c r="O20" i="4"/>
  <c r="N21" i="4"/>
  <c r="N22" i="4"/>
  <c r="N23" i="4"/>
  <c r="N20" i="4"/>
  <c r="K21" i="4"/>
  <c r="K22" i="4"/>
  <c r="K23" i="4"/>
  <c r="K20" i="4"/>
  <c r="J21" i="4"/>
  <c r="J22" i="4"/>
  <c r="J23" i="4"/>
  <c r="J20" i="4"/>
  <c r="I21" i="4"/>
  <c r="I22" i="4"/>
  <c r="I23" i="4"/>
  <c r="I20" i="4"/>
  <c r="H21" i="4"/>
  <c r="H22" i="4"/>
  <c r="H23" i="4"/>
  <c r="H20" i="4"/>
  <c r="G21" i="4"/>
  <c r="G22" i="4"/>
  <c r="G23" i="4"/>
  <c r="G20" i="4"/>
  <c r="F21" i="4"/>
  <c r="F23" i="4"/>
  <c r="F20" i="4"/>
  <c r="E21" i="4"/>
  <c r="E22" i="4"/>
  <c r="E23" i="4"/>
  <c r="E20" i="4"/>
  <c r="C21" i="4"/>
  <c r="C22" i="4"/>
  <c r="C23" i="4"/>
  <c r="C20" i="4"/>
  <c r="B21" i="4"/>
  <c r="B22" i="4"/>
  <c r="B23" i="4"/>
  <c r="B20" i="4"/>
  <c r="D23" i="4" l="1"/>
  <c r="D22" i="4"/>
  <c r="AB23" i="4"/>
  <c r="L22" i="4"/>
  <c r="AB22" i="4"/>
  <c r="AJ20" i="4"/>
  <c r="D21" i="4"/>
  <c r="T23" i="4"/>
  <c r="C24" i="4"/>
  <c r="T21" i="4"/>
  <c r="U24" i="4"/>
  <c r="AB20" i="4"/>
  <c r="W24" i="4"/>
  <c r="Y24" i="4"/>
  <c r="AA24" i="4"/>
  <c r="AH24" i="4"/>
  <c r="E24" i="4"/>
  <c r="H24" i="4"/>
  <c r="J24" i="4"/>
  <c r="N24" i="4"/>
  <c r="T20" i="4"/>
  <c r="R24" i="4"/>
  <c r="F24" i="4"/>
  <c r="T22" i="4"/>
  <c r="AB21" i="4"/>
  <c r="AJ21" i="4"/>
  <c r="S24" i="4"/>
  <c r="V24" i="4"/>
  <c r="X24" i="4"/>
  <c r="Z24" i="4"/>
  <c r="AI24" i="4"/>
  <c r="G24" i="4"/>
  <c r="K24" i="4"/>
  <c r="O24" i="4"/>
  <c r="AC24" i="4"/>
  <c r="D20" i="4"/>
  <c r="B24" i="4"/>
  <c r="AJ22" i="4"/>
  <c r="AJ23" i="4"/>
  <c r="L23" i="4"/>
  <c r="L21" i="4"/>
  <c r="AK24" i="4"/>
  <c r="AG24" i="4"/>
  <c r="AF24" i="4"/>
  <c r="AE24" i="4"/>
  <c r="AD24" i="4"/>
  <c r="Q24" i="4"/>
  <c r="P24" i="4"/>
  <c r="L20" i="4"/>
  <c r="I24" i="4"/>
  <c r="AM23" i="4" l="1"/>
  <c r="AM22" i="4"/>
  <c r="AJ24" i="4"/>
  <c r="L24" i="4"/>
  <c r="AM21" i="4"/>
  <c r="T24" i="4"/>
  <c r="AM20" i="4"/>
  <c r="D24" i="4"/>
  <c r="AB24" i="4"/>
  <c r="AM24" i="4" l="1"/>
  <c r="A18" i="4"/>
</calcChain>
</file>

<file path=xl/sharedStrings.xml><?xml version="1.0" encoding="utf-8"?>
<sst xmlns="http://schemas.openxmlformats.org/spreadsheetml/2006/main" count="249" uniqueCount="46">
  <si>
    <t>GTH-FT-038</t>
  </si>
  <si>
    <t>Fecha:  25-06-2018</t>
  </si>
  <si>
    <t>Versión:  02</t>
  </si>
  <si>
    <t>Página 1 de 1</t>
  </si>
  <si>
    <t>UNIDAD FUNCIONAL:</t>
  </si>
  <si>
    <t>SERVICIO:</t>
  </si>
  <si>
    <t xml:space="preserve">PERIODO: </t>
  </si>
  <si>
    <t>DIA</t>
  </si>
  <si>
    <t>NOMBRE</t>
  </si>
  <si>
    <t>H</t>
  </si>
  <si>
    <t>CAP</t>
  </si>
  <si>
    <t>FIRMA</t>
  </si>
  <si>
    <t>L</t>
  </si>
  <si>
    <t>M</t>
  </si>
  <si>
    <t>J</t>
  </si>
  <si>
    <t>V</t>
  </si>
  <si>
    <t>S</t>
  </si>
  <si>
    <t>D</t>
  </si>
  <si>
    <t>J1</t>
  </si>
  <si>
    <t>D1</t>
  </si>
  <si>
    <t>J2</t>
  </si>
  <si>
    <t>CAROLAYN GARCIA</t>
  </si>
  <si>
    <t>TOTAL HORAS</t>
  </si>
  <si>
    <t>TOTAL HORAS DIA</t>
  </si>
  <si>
    <t>NO SE PERMITE CAMBIO DE TURNO SIN PREVIA AUTORIZACION DEL COORDINADOR</t>
  </si>
  <si>
    <t xml:space="preserve">CONVENCIONES </t>
  </si>
  <si>
    <t xml:space="preserve">TURNO </t>
  </si>
  <si>
    <t xml:space="preserve">INICIO </t>
  </si>
  <si>
    <t xml:space="preserve">FIN </t>
  </si>
  <si>
    <t>INICIO</t>
  </si>
  <si>
    <t>FIN</t>
  </si>
  <si>
    <t>Libre</t>
  </si>
  <si>
    <t>Capacitacion</t>
  </si>
  <si>
    <t>Dirección de Operaciones y Estrategias de Innovación</t>
  </si>
  <si>
    <t>VERONICA MERCHAN</t>
  </si>
  <si>
    <t>YURY ANDREA ZAFRA</t>
  </si>
  <si>
    <t>TURNO CORTO</t>
  </si>
  <si>
    <t>LIQUIDACION</t>
  </si>
  <si>
    <t>SABADOS</t>
  </si>
  <si>
    <t>ELABORÓ: XIMENA MORENO</t>
  </si>
  <si>
    <t>REVISÓ: YERLIT LILIANA LOPEZ MURILLO</t>
  </si>
  <si>
    <t>Tec. Con funciones deCoordinador de Facturación</t>
  </si>
  <si>
    <t>LADY BIBIANA ROMERO</t>
  </si>
  <si>
    <t>Directora E Facturación</t>
  </si>
  <si>
    <t>D2</t>
  </si>
  <si>
    <t>ISABU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</si>
</sst>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0;[Red]0"/>
    <numFmt numFmtId="166" formatCode="0.0;[Red]0.0"/>
  </numFmts>
  <fonts count="18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b/>
      <sz val="8"/>
      <color theme="1"/>
      <name val="Calibri"/>
      <family val="2"/>
    </font>
    <font>
      <b/>
      <sz val="8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</font>
    <font>
      <sz val="8"/>
      <color theme="1"/>
      <name val="Calibri"/>
      <family val="2"/>
    </font>
    <font>
      <b/>
      <sz val="8"/>
      <color theme="1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color theme="1"/>
      <name val="Arial"/>
      <family val="2"/>
    </font>
    <font>
      <sz val="8"/>
      <color theme="1"/>
      <name val="Arial Narrow"/>
      <family val="2"/>
    </font>
    <font>
      <b/>
      <sz val="8"/>
      <color rgb="FF000000"/>
      <name val="Calibri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sz val="8"/>
      <color rgb="FF000000"/>
      <name val="Calibri"/>
      <family val="2"/>
    </font>
    <font>
      <b/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/>
        <bgColor rgb="FFBFBFBF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151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7" fillId="0" borderId="0" xfId="0" applyFont="1" applyAlignment="1"/>
    <xf numFmtId="0" fontId="6" fillId="0" borderId="0" xfId="0" applyFont="1" applyAlignment="1"/>
    <xf numFmtId="0" fontId="9" fillId="0" borderId="1" xfId="1" applyFont="1" applyBorder="1" applyAlignment="1">
      <alignment horizontal="center" vertical="center"/>
    </xf>
    <xf numFmtId="0" fontId="9" fillId="13" borderId="1" xfId="1" applyFont="1" applyFill="1" applyBorder="1" applyAlignment="1">
      <alignment horizontal="center" vertical="center"/>
    </xf>
    <xf numFmtId="0" fontId="10" fillId="0" borderId="1" xfId="0" applyFont="1" applyBorder="1" applyAlignment="1"/>
    <xf numFmtId="0" fontId="9" fillId="0" borderId="1" xfId="0" applyFont="1" applyBorder="1" applyAlignment="1">
      <alignment horizontal="center" vertical="center"/>
    </xf>
    <xf numFmtId="0" fontId="5" fillId="0" borderId="0" xfId="0" applyFont="1" applyAlignment="1"/>
    <xf numFmtId="0" fontId="11" fillId="0" borderId="1" xfId="0" applyFont="1" applyBorder="1" applyAlignment="1">
      <alignment horizontal="center" vertical="center"/>
    </xf>
    <xf numFmtId="0" fontId="7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8" fillId="6" borderId="0" xfId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65" fontId="12" fillId="0" borderId="0" xfId="0" applyNumberFormat="1" applyFont="1">
      <alignment vertical="center"/>
    </xf>
    <xf numFmtId="165" fontId="2" fillId="0" borderId="0" xfId="0" applyNumberFormat="1" applyFont="1">
      <alignment vertical="center"/>
    </xf>
    <xf numFmtId="0" fontId="12" fillId="0" borderId="0" xfId="0" applyFont="1">
      <alignment vertical="center"/>
    </xf>
    <xf numFmtId="0" fontId="7" fillId="9" borderId="0" xfId="0" applyFont="1" applyFill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0" fontId="11" fillId="0" borderId="0" xfId="0" applyFont="1" applyAlignment="1"/>
    <xf numFmtId="0" fontId="13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7" fillId="0" borderId="0" xfId="1" applyFont="1" applyAlignment="1">
      <alignment vertical="center" wrapText="1"/>
    </xf>
    <xf numFmtId="0" fontId="10" fillId="0" borderId="0" xfId="0" applyFont="1" applyAlignment="1"/>
    <xf numFmtId="0" fontId="15" fillId="0" borderId="0" xfId="0" applyFont="1">
      <alignment vertical="center"/>
    </xf>
    <xf numFmtId="0" fontId="8" fillId="0" borderId="0" xfId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/>
    <xf numFmtId="0" fontId="12" fillId="0" borderId="6" xfId="0" applyFont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9" fillId="8" borderId="13" xfId="0" applyFont="1" applyFill="1" applyBorder="1" applyAlignment="1"/>
    <xf numFmtId="0" fontId="7" fillId="0" borderId="0" xfId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/>
    <xf numFmtId="0" fontId="7" fillId="0" borderId="0" xfId="0" applyFont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0" borderId="12" xfId="1" applyFont="1" applyBorder="1" applyAlignment="1">
      <alignment horizontal="left" vertical="center"/>
    </xf>
    <xf numFmtId="0" fontId="9" fillId="14" borderId="1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left" vertical="center"/>
    </xf>
    <xf numFmtId="0" fontId="9" fillId="0" borderId="9" xfId="1" applyFont="1" applyBorder="1" applyAlignment="1">
      <alignment horizontal="center" vertical="center"/>
    </xf>
    <xf numFmtId="0" fontId="9" fillId="13" borderId="9" xfId="1" applyFont="1" applyFill="1" applyBorder="1" applyAlignment="1">
      <alignment horizontal="center" vertical="center"/>
    </xf>
    <xf numFmtId="0" fontId="10" fillId="0" borderId="9" xfId="0" applyFont="1" applyBorder="1" applyAlignment="1"/>
    <xf numFmtId="0" fontId="11" fillId="0" borderId="9" xfId="0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1" fillId="15" borderId="13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18" xfId="1" applyFont="1" applyBorder="1" applyAlignment="1">
      <alignment horizontal="left" vertical="center" wrapText="1"/>
    </xf>
    <xf numFmtId="165" fontId="7" fillId="5" borderId="14" xfId="0" applyNumberFormat="1" applyFont="1" applyFill="1" applyBorder="1" applyAlignment="1">
      <alignment horizontal="center" vertical="center"/>
    </xf>
    <xf numFmtId="0" fontId="16" fillId="13" borderId="16" xfId="0" applyFont="1" applyFill="1" applyBorder="1" applyAlignment="1">
      <alignment horizontal="center" vertical="center"/>
    </xf>
    <xf numFmtId="165" fontId="7" fillId="5" borderId="6" xfId="0" applyNumberFormat="1" applyFont="1" applyFill="1" applyBorder="1" applyAlignment="1">
      <alignment horizontal="center" vertical="center"/>
    </xf>
    <xf numFmtId="165" fontId="7" fillId="9" borderId="16" xfId="0" applyNumberFormat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164" fontId="15" fillId="0" borderId="1" xfId="3" applyNumberFormat="1" applyFont="1" applyBorder="1" applyAlignment="1">
      <alignment horizontal="left" vertical="center" wrapText="1"/>
    </xf>
    <xf numFmtId="164" fontId="15" fillId="0" borderId="1" xfId="3" applyNumberFormat="1" applyFont="1" applyBorder="1" applyAlignment="1">
      <alignment horizontal="center" vertical="center" wrapText="1"/>
    </xf>
    <xf numFmtId="0" fontId="4" fillId="11" borderId="1" xfId="1" applyFont="1" applyFill="1" applyBorder="1" applyAlignment="1">
      <alignment horizontal="center" vertical="center"/>
    </xf>
    <xf numFmtId="20" fontId="14" fillId="0" borderId="1" xfId="3" applyNumberFormat="1" applyFont="1" applyBorder="1" applyAlignment="1">
      <alignment vertical="center" wrapText="1"/>
    </xf>
    <xf numFmtId="165" fontId="9" fillId="9" borderId="0" xfId="0" applyNumberFormat="1" applyFont="1" applyFill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1" xfId="1" applyFont="1" applyBorder="1" applyAlignment="1">
      <alignment horizontal="left" vertical="center"/>
    </xf>
    <xf numFmtId="0" fontId="7" fillId="0" borderId="23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5" borderId="7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10" fillId="15" borderId="19" xfId="0" applyFont="1" applyFill="1" applyBorder="1" applyAlignment="1">
      <alignment horizontal="center"/>
    </xf>
    <xf numFmtId="0" fontId="10" fillId="15" borderId="24" xfId="0" applyFont="1" applyFill="1" applyBorder="1" applyAlignment="1">
      <alignment horizontal="center"/>
    </xf>
    <xf numFmtId="0" fontId="10" fillId="10" borderId="7" xfId="0" applyFont="1" applyFill="1" applyBorder="1" applyAlignment="1">
      <alignment horizontal="center"/>
    </xf>
    <xf numFmtId="0" fontId="10" fillId="10" borderId="21" xfId="0" applyFont="1" applyFill="1" applyBorder="1" applyAlignment="1">
      <alignment horizontal="center"/>
    </xf>
    <xf numFmtId="0" fontId="17" fillId="6" borderId="1" xfId="1" applyFont="1" applyFill="1" applyBorder="1" applyAlignment="1">
      <alignment vertical="center"/>
    </xf>
    <xf numFmtId="165" fontId="7" fillId="5" borderId="16" xfId="0" applyNumberFormat="1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15" borderId="10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 wrapText="1"/>
    </xf>
    <xf numFmtId="165" fontId="11" fillId="0" borderId="9" xfId="0" applyNumberFormat="1" applyFont="1" applyBorder="1" applyAlignment="1">
      <alignment horizontal="center" vertical="center" wrapText="1"/>
    </xf>
    <xf numFmtId="20" fontId="17" fillId="6" borderId="1" xfId="3" applyNumberFormat="1" applyFont="1" applyFill="1" applyBorder="1" applyAlignment="1">
      <alignment horizontal="center" vertical="center" wrapText="1"/>
    </xf>
    <xf numFmtId="20" fontId="14" fillId="0" borderId="1" xfId="3" applyNumberFormat="1" applyFont="1" applyBorder="1" applyAlignment="1">
      <alignment horizontal="center" vertical="center" wrapText="1"/>
    </xf>
    <xf numFmtId="0" fontId="13" fillId="4" borderId="7" xfId="1" applyFont="1" applyFill="1" applyBorder="1" applyAlignment="1">
      <alignment horizontal="center" vertical="center" wrapText="1"/>
    </xf>
    <xf numFmtId="0" fontId="13" fillId="4" borderId="8" xfId="1" applyFont="1" applyFill="1" applyBorder="1" applyAlignment="1">
      <alignment horizontal="center" vertical="center" wrapText="1"/>
    </xf>
    <xf numFmtId="0" fontId="13" fillId="4" borderId="19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0" fontId="17" fillId="6" borderId="1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4" xfId="0" applyFont="1" applyBorder="1" applyAlignment="1"/>
    <xf numFmtId="0" fontId="5" fillId="0" borderId="5" xfId="0" applyFont="1" applyBorder="1" applyAlignment="1"/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7" fillId="9" borderId="22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9" borderId="16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left" vertical="center" wrapText="1"/>
    </xf>
    <xf numFmtId="0" fontId="2" fillId="9" borderId="10" xfId="0" applyFont="1" applyFill="1" applyBorder="1" applyAlignment="1">
      <alignment horizontal="left" vertical="center" wrapText="1"/>
    </xf>
    <xf numFmtId="0" fontId="2" fillId="9" borderId="13" xfId="0" applyFont="1" applyFill="1" applyBorder="1" applyAlignment="1">
      <alignment horizontal="left" vertical="center" wrapText="1"/>
    </xf>
    <xf numFmtId="0" fontId="5" fillId="0" borderId="10" xfId="0" applyFont="1" applyBorder="1" applyAlignment="1"/>
    <xf numFmtId="0" fontId="5" fillId="0" borderId="13" xfId="0" applyFont="1" applyBorder="1" applyAlignment="1"/>
    <xf numFmtId="0" fontId="6" fillId="9" borderId="11" xfId="0" applyFont="1" applyFill="1" applyBorder="1" applyAlignment="1">
      <alignment horizontal="left" vertical="center" wrapText="1"/>
    </xf>
    <xf numFmtId="0" fontId="7" fillId="0" borderId="0" xfId="0" applyFont="1" applyAlignment="1"/>
    <xf numFmtId="49" fontId="7" fillId="0" borderId="0" xfId="0" applyNumberFormat="1" applyFont="1" applyAlignment="1">
      <alignment horizontal="left"/>
    </xf>
    <xf numFmtId="0" fontId="7" fillId="7" borderId="1" xfId="0" applyFont="1" applyFill="1" applyBorder="1" applyAlignment="1">
      <alignment horizontal="center" vertical="center"/>
    </xf>
    <xf numFmtId="0" fontId="2" fillId="9" borderId="21" xfId="0" applyFont="1" applyFill="1" applyBorder="1" applyAlignment="1">
      <alignment horizontal="center" vertical="center"/>
    </xf>
    <xf numFmtId="0" fontId="2" fillId="9" borderId="18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9" fillId="0" borderId="5" xfId="0" applyFont="1" applyBorder="1" applyAlignment="1"/>
    <xf numFmtId="0" fontId="6" fillId="10" borderId="15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horizontal="center" vertical="center"/>
    </xf>
    <xf numFmtId="0" fontId="7" fillId="12" borderId="9" xfId="0" applyFont="1" applyFill="1" applyBorder="1" applyAlignment="1">
      <alignment horizontal="center" vertical="center"/>
    </xf>
    <xf numFmtId="0" fontId="7" fillId="12" borderId="16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6" fillId="9" borderId="20" xfId="0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0" xfId="2" applyFont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</cellXfs>
  <cellStyles count="4">
    <cellStyle name="Normal" xfId="0" builtinId="0"/>
    <cellStyle name="Normal 2" xfId="1" xr:uid="{00000000-0005-0000-0000-000031000000}"/>
    <cellStyle name="Normal 3 10" xfId="2" xr:uid="{00000000-0005-0000-0000-000032000000}"/>
    <cellStyle name="Normal 34" xfId="3" xr:uid="{00000000-0005-0000-0000-000033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Preset3_Accent1" defaultPivotStyle="PivotStylePreset2_Accent1">
    <tableStyle name="Invisible" pivot="0" table="0" count="0" xr9:uid="{A4D2CB25-2267-4C25-ABF1-1A783A1E9C8F}"/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76201</xdr:colOff>
      <xdr:row>0</xdr:row>
      <xdr:rowOff>0</xdr:rowOff>
    </xdr:from>
    <xdr:ext cx="685800" cy="428625"/>
    <xdr:pic>
      <xdr:nvPicPr>
        <xdr:cNvPr id="2" name="image2.png" descr="Logo MSM Formatos">
          <a:extLst>
            <a:ext uri="{FF2B5EF4-FFF2-40B4-BE49-F238E27FC236}">
              <a16:creationId xmlns:a16="http://schemas.microsoft.com/office/drawing/2014/main" id="{5F28439C-0538-4A63-924F-5C0E6B4C57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1" y="0"/>
          <a:ext cx="685800" cy="4286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190501</xdr:colOff>
      <xdr:row>39</xdr:row>
      <xdr:rowOff>58510</xdr:rowOff>
    </xdr:from>
    <xdr:to>
      <xdr:col>1</xdr:col>
      <xdr:colOff>123826</xdr:colOff>
      <xdr:row>42</xdr:row>
      <xdr:rowOff>78427</xdr:rowOff>
    </xdr:to>
    <xdr:pic>
      <xdr:nvPicPr>
        <xdr:cNvPr id="3" name="Imagen 2" descr="MI FIRMA">
          <a:extLst>
            <a:ext uri="{FF2B5EF4-FFF2-40B4-BE49-F238E27FC236}">
              <a16:creationId xmlns:a16="http://schemas.microsoft.com/office/drawing/2014/main" id="{16F4E31F-89FC-49A2-9AFE-D50BF995D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1" y="6402160"/>
          <a:ext cx="1257300" cy="448542"/>
        </a:xfrm>
        <a:prstGeom prst="rect">
          <a:avLst/>
        </a:prstGeom>
      </xdr:spPr>
    </xdr:pic>
    <xdr:clientData/>
  </xdr:twoCellAnchor>
  <xdr:oneCellAnchor>
    <xdr:from>
      <xdr:col>4</xdr:col>
      <xdr:colOff>209550</xdr:colOff>
      <xdr:row>38</xdr:row>
      <xdr:rowOff>106135</xdr:rowOff>
    </xdr:from>
    <xdr:ext cx="1770290" cy="655865"/>
    <xdr:pic>
      <xdr:nvPicPr>
        <xdr:cNvPr id="4" name="image1.png">
          <a:extLst>
            <a:ext uri="{FF2B5EF4-FFF2-40B4-BE49-F238E27FC236}">
              <a16:creationId xmlns:a16="http://schemas.microsoft.com/office/drawing/2014/main" id="{E2A7A866-B1EE-4265-8B30-F3CB1A4D1F3C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>
          <a:alphaModFix amt="85000"/>
        </a:blip>
        <a:stretch>
          <a:fillRect/>
        </a:stretch>
      </xdr:blipFill>
      <xdr:spPr>
        <a:xfrm>
          <a:off x="2295525" y="6287860"/>
          <a:ext cx="1770290" cy="655865"/>
        </a:xfrm>
        <a:prstGeom prst="rect">
          <a:avLst/>
        </a:prstGeom>
        <a:noFill/>
      </xdr:spPr>
    </xdr:pic>
    <xdr:clientData fLocksWithSheet="0"/>
  </xdr:oneCellAnchor>
  <xdr:twoCellAnchor>
    <xdr:from>
      <xdr:col>18</xdr:col>
      <xdr:colOff>106136</xdr:colOff>
      <xdr:row>42</xdr:row>
      <xdr:rowOff>0</xdr:rowOff>
    </xdr:from>
    <xdr:to>
      <xdr:col>27</xdr:col>
      <xdr:colOff>190318</xdr:colOff>
      <xdr:row>43</xdr:row>
      <xdr:rowOff>285297</xdr:rowOff>
    </xdr:to>
    <xdr:pic>
      <xdr:nvPicPr>
        <xdr:cNvPr id="5" name="Image 5">
          <a:extLst>
            <a:ext uri="{FF2B5EF4-FFF2-40B4-BE49-F238E27FC236}">
              <a16:creationId xmlns:a16="http://schemas.microsoft.com/office/drawing/2014/main" id="{A34F82A0-F079-4EF1-81F8-4D8306B428D7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097236" y="6772275"/>
          <a:ext cx="1941557" cy="4281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2670-21D5-4713-9828-2F335C87081D}">
  <dimension ref="A1:AO45"/>
  <sheetViews>
    <sheetView tabSelected="1" workbookViewId="0">
      <selection activeCell="B6" sqref="B6:AL6"/>
    </sheetView>
  </sheetViews>
  <sheetFormatPr baseColWidth="10" defaultColWidth="11.453125" defaultRowHeight="10.5"/>
  <cols>
    <col min="1" max="1" width="19.81640625" style="2" customWidth="1"/>
    <col min="2" max="2" width="2.1796875" style="2" customWidth="1"/>
    <col min="3" max="3" width="2" style="2" customWidth="1"/>
    <col min="4" max="4" width="3.1796875" style="2" customWidth="1"/>
    <col min="5" max="5" width="4.26953125" style="2" customWidth="1"/>
    <col min="6" max="6" width="3.81640625" style="2" customWidth="1"/>
    <col min="7" max="7" width="2.54296875" style="2" customWidth="1"/>
    <col min="8" max="8" width="3.1796875" style="2" customWidth="1"/>
    <col min="9" max="9" width="3.26953125" style="2" customWidth="1"/>
    <col min="10" max="10" width="3.81640625" style="2" customWidth="1"/>
    <col min="11" max="11" width="2.54296875" style="2" customWidth="1"/>
    <col min="12" max="12" width="4.26953125" style="2" customWidth="1"/>
    <col min="13" max="13" width="2.54296875" style="2" customWidth="1"/>
    <col min="14" max="14" width="2.7265625" style="2" customWidth="1"/>
    <col min="15" max="15" width="4" style="2" customWidth="1"/>
    <col min="16" max="16" width="3.453125" style="2" customWidth="1"/>
    <col min="17" max="17" width="3.26953125" style="2" customWidth="1"/>
    <col min="18" max="18" width="4.1796875" style="2" customWidth="1"/>
    <col min="19" max="19" width="4" style="2" customWidth="1"/>
    <col min="20" max="20" width="3.81640625" style="2" customWidth="1"/>
    <col min="21" max="32" width="3.1796875" style="2" customWidth="1"/>
    <col min="33" max="35" width="3.54296875" style="2" customWidth="1"/>
    <col min="36" max="37" width="3.453125" style="2" customWidth="1"/>
    <col min="38" max="38" width="6" style="2" customWidth="1"/>
    <col min="39" max="39" width="16" style="2" customWidth="1"/>
    <col min="40" max="40" width="7" style="2" customWidth="1"/>
    <col min="41" max="16384" width="11.453125" style="2"/>
  </cols>
  <sheetData>
    <row r="1" spans="1:40">
      <c r="A1" s="115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27" t="s">
        <v>0</v>
      </c>
      <c r="AM1" s="128"/>
      <c r="AN1" s="129"/>
    </row>
    <row r="2" spans="1:40">
      <c r="A2" s="116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127" t="s">
        <v>1</v>
      </c>
      <c r="AM2" s="130"/>
      <c r="AN2" s="131"/>
    </row>
    <row r="3" spans="1:40" ht="9" customHeight="1">
      <c r="A3" s="116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127" t="s">
        <v>2</v>
      </c>
      <c r="AM3" s="130"/>
      <c r="AN3" s="131"/>
    </row>
    <row r="4" spans="1:40" ht="3.75" customHeight="1">
      <c r="A4" s="117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132" t="s">
        <v>3</v>
      </c>
      <c r="AM4" s="130"/>
      <c r="AN4" s="131"/>
    </row>
    <row r="5" spans="1:40">
      <c r="A5" s="49" t="s">
        <v>4</v>
      </c>
      <c r="B5" s="133" t="s">
        <v>45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5"/>
      <c r="AN5" s="5"/>
    </row>
    <row r="6" spans="1:40">
      <c r="A6" s="49" t="s">
        <v>5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5"/>
      <c r="AN6" s="5"/>
    </row>
    <row r="7" spans="1:40">
      <c r="A7" s="46" t="s">
        <v>6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50"/>
    </row>
    <row r="8" spans="1:40">
      <c r="A8" s="125" t="s">
        <v>7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51"/>
    </row>
    <row r="9" spans="1:40" ht="15" customHeight="1">
      <c r="A9" s="121" t="s">
        <v>8</v>
      </c>
      <c r="B9" s="53">
        <v>1</v>
      </c>
      <c r="C9" s="53">
        <v>2</v>
      </c>
      <c r="D9" s="123" t="s">
        <v>9</v>
      </c>
      <c r="E9" s="53">
        <v>3</v>
      </c>
      <c r="F9" s="53">
        <v>4</v>
      </c>
      <c r="G9" s="53">
        <v>5</v>
      </c>
      <c r="H9" s="53">
        <v>6</v>
      </c>
      <c r="I9" s="53">
        <v>7</v>
      </c>
      <c r="J9" s="53">
        <v>8</v>
      </c>
      <c r="K9" s="53">
        <v>9</v>
      </c>
      <c r="L9" s="123" t="s">
        <v>9</v>
      </c>
      <c r="M9" s="53">
        <v>10</v>
      </c>
      <c r="N9" s="53">
        <v>11</v>
      </c>
      <c r="O9" s="53">
        <v>12</v>
      </c>
      <c r="P9" s="53">
        <v>13</v>
      </c>
      <c r="Q9" s="53">
        <v>14</v>
      </c>
      <c r="R9" s="53">
        <v>15</v>
      </c>
      <c r="S9" s="53">
        <v>16</v>
      </c>
      <c r="T9" s="121" t="s">
        <v>9</v>
      </c>
      <c r="U9" s="53">
        <v>17</v>
      </c>
      <c r="V9" s="53">
        <v>18</v>
      </c>
      <c r="W9" s="53">
        <v>19</v>
      </c>
      <c r="X9" s="52">
        <v>20</v>
      </c>
      <c r="Y9" s="53">
        <v>21</v>
      </c>
      <c r="Z9" s="52">
        <v>22</v>
      </c>
      <c r="AA9" s="52">
        <v>23</v>
      </c>
      <c r="AB9" s="121" t="s">
        <v>9</v>
      </c>
      <c r="AC9" s="52">
        <v>24</v>
      </c>
      <c r="AD9" s="52">
        <v>25</v>
      </c>
      <c r="AE9" s="52">
        <v>26</v>
      </c>
      <c r="AF9" s="52">
        <v>27</v>
      </c>
      <c r="AG9" s="52">
        <v>28</v>
      </c>
      <c r="AH9" s="52">
        <v>29</v>
      </c>
      <c r="AI9" s="52">
        <v>30</v>
      </c>
      <c r="AJ9" s="121" t="s">
        <v>9</v>
      </c>
      <c r="AK9" s="52">
        <v>31</v>
      </c>
      <c r="AL9" s="136" t="s">
        <v>10</v>
      </c>
      <c r="AM9" s="54" t="s">
        <v>11</v>
      </c>
      <c r="AN9" s="6"/>
    </row>
    <row r="10" spans="1:40" ht="15" customHeight="1">
      <c r="A10" s="122"/>
      <c r="B10" s="55" t="s">
        <v>16</v>
      </c>
      <c r="C10" s="55" t="s">
        <v>17</v>
      </c>
      <c r="D10" s="124"/>
      <c r="E10" s="55" t="s">
        <v>12</v>
      </c>
      <c r="F10" s="55" t="s">
        <v>13</v>
      </c>
      <c r="G10" s="55" t="s">
        <v>13</v>
      </c>
      <c r="H10" s="55" t="s">
        <v>14</v>
      </c>
      <c r="I10" s="55" t="s">
        <v>15</v>
      </c>
      <c r="J10" s="55" t="s">
        <v>16</v>
      </c>
      <c r="K10" s="55" t="s">
        <v>17</v>
      </c>
      <c r="L10" s="124"/>
      <c r="M10" s="55" t="s">
        <v>12</v>
      </c>
      <c r="N10" s="55" t="s">
        <v>13</v>
      </c>
      <c r="O10" s="55" t="s">
        <v>13</v>
      </c>
      <c r="P10" s="55" t="s">
        <v>14</v>
      </c>
      <c r="Q10" s="55" t="s">
        <v>15</v>
      </c>
      <c r="R10" s="55" t="s">
        <v>16</v>
      </c>
      <c r="S10" s="55" t="s">
        <v>17</v>
      </c>
      <c r="T10" s="126"/>
      <c r="U10" s="55" t="s">
        <v>12</v>
      </c>
      <c r="V10" s="55" t="s">
        <v>13</v>
      </c>
      <c r="W10" s="55" t="s">
        <v>13</v>
      </c>
      <c r="X10" s="55" t="s">
        <v>14</v>
      </c>
      <c r="Y10" s="55" t="s">
        <v>15</v>
      </c>
      <c r="Z10" s="55" t="s">
        <v>16</v>
      </c>
      <c r="AA10" s="55" t="s">
        <v>17</v>
      </c>
      <c r="AB10" s="126"/>
      <c r="AC10" s="55" t="s">
        <v>12</v>
      </c>
      <c r="AD10" s="55" t="s">
        <v>13</v>
      </c>
      <c r="AE10" s="55" t="s">
        <v>13</v>
      </c>
      <c r="AF10" s="55" t="s">
        <v>14</v>
      </c>
      <c r="AG10" s="89" t="s">
        <v>15</v>
      </c>
      <c r="AH10" s="55" t="s">
        <v>16</v>
      </c>
      <c r="AI10" s="55" t="s">
        <v>17</v>
      </c>
      <c r="AJ10" s="126"/>
      <c r="AK10" s="55" t="s">
        <v>12</v>
      </c>
      <c r="AL10" s="137"/>
      <c r="AM10" s="54"/>
      <c r="AN10" s="6"/>
    </row>
    <row r="11" spans="1:40">
      <c r="A11" s="86" t="s">
        <v>34</v>
      </c>
      <c r="B11" s="8" t="s">
        <v>12</v>
      </c>
      <c r="C11" s="8" t="s">
        <v>12</v>
      </c>
      <c r="D11" s="9"/>
      <c r="E11" s="7" t="s">
        <v>17</v>
      </c>
      <c r="F11" s="7" t="s">
        <v>18</v>
      </c>
      <c r="G11" s="7" t="s">
        <v>19</v>
      </c>
      <c r="H11" s="7" t="s">
        <v>18</v>
      </c>
      <c r="I11" s="8" t="s">
        <v>12</v>
      </c>
      <c r="J11" s="57" t="s">
        <v>44</v>
      </c>
      <c r="K11" s="8" t="s">
        <v>12</v>
      </c>
      <c r="L11" s="9"/>
      <c r="M11" s="7" t="s">
        <v>17</v>
      </c>
      <c r="N11" s="7" t="s">
        <v>18</v>
      </c>
      <c r="O11" s="7" t="s">
        <v>19</v>
      </c>
      <c r="P11" s="7" t="s">
        <v>18</v>
      </c>
      <c r="Q11" s="85" t="s">
        <v>19</v>
      </c>
      <c r="R11" s="8" t="s">
        <v>12</v>
      </c>
      <c r="S11" s="8" t="s">
        <v>12</v>
      </c>
      <c r="T11" s="10"/>
      <c r="U11" s="8" t="s">
        <v>12</v>
      </c>
      <c r="V11" s="7" t="s">
        <v>18</v>
      </c>
      <c r="W11" s="7" t="s">
        <v>19</v>
      </c>
      <c r="X11" s="7" t="s">
        <v>18</v>
      </c>
      <c r="Y11" s="7" t="s">
        <v>17</v>
      </c>
      <c r="Z11" s="8" t="s">
        <v>12</v>
      </c>
      <c r="AA11" s="8" t="s">
        <v>12</v>
      </c>
      <c r="AB11" s="10"/>
      <c r="AC11" s="7" t="s">
        <v>18</v>
      </c>
      <c r="AD11" s="7" t="s">
        <v>17</v>
      </c>
      <c r="AE11" s="7" t="s">
        <v>18</v>
      </c>
      <c r="AF11" s="7" t="s">
        <v>17</v>
      </c>
      <c r="AG11" s="98" t="s">
        <v>18</v>
      </c>
      <c r="AH11" s="8" t="s">
        <v>12</v>
      </c>
      <c r="AI11" s="8" t="s">
        <v>12</v>
      </c>
      <c r="AJ11" s="10"/>
      <c r="AK11" s="7" t="s">
        <v>17</v>
      </c>
      <c r="AL11" s="90">
        <v>1</v>
      </c>
      <c r="AM11" s="10"/>
      <c r="AN11" s="11"/>
    </row>
    <row r="12" spans="1:40">
      <c r="A12" s="86" t="s">
        <v>21</v>
      </c>
      <c r="B12" s="8" t="s">
        <v>12</v>
      </c>
      <c r="C12" s="8" t="s">
        <v>12</v>
      </c>
      <c r="D12" s="9"/>
      <c r="E12" s="7" t="s">
        <v>19</v>
      </c>
      <c r="F12" s="7" t="s">
        <v>18</v>
      </c>
      <c r="G12" s="7" t="s">
        <v>17</v>
      </c>
      <c r="H12" s="7" t="s">
        <v>18</v>
      </c>
      <c r="I12" s="8" t="s">
        <v>12</v>
      </c>
      <c r="J12" s="8" t="s">
        <v>12</v>
      </c>
      <c r="K12" s="8" t="s">
        <v>12</v>
      </c>
      <c r="L12" s="9"/>
      <c r="M12" s="7" t="s">
        <v>19</v>
      </c>
      <c r="N12" s="7" t="s">
        <v>18</v>
      </c>
      <c r="O12" s="7" t="s">
        <v>17</v>
      </c>
      <c r="P12" s="7" t="s">
        <v>18</v>
      </c>
      <c r="Q12" s="7" t="s">
        <v>17</v>
      </c>
      <c r="R12" s="8" t="s">
        <v>12</v>
      </c>
      <c r="S12" s="8" t="s">
        <v>12</v>
      </c>
      <c r="T12" s="10"/>
      <c r="U12" s="8" t="s">
        <v>12</v>
      </c>
      <c r="V12" s="7" t="s">
        <v>18</v>
      </c>
      <c r="W12" s="7" t="s">
        <v>17</v>
      </c>
      <c r="X12" s="7" t="s">
        <v>18</v>
      </c>
      <c r="Y12" s="7" t="s">
        <v>19</v>
      </c>
      <c r="Z12" s="57" t="s">
        <v>44</v>
      </c>
      <c r="AA12" s="8" t="s">
        <v>12</v>
      </c>
      <c r="AB12" s="10"/>
      <c r="AC12" s="7" t="s">
        <v>18</v>
      </c>
      <c r="AD12" s="84" t="s">
        <v>17</v>
      </c>
      <c r="AE12" s="7" t="s">
        <v>18</v>
      </c>
      <c r="AF12" s="7" t="s">
        <v>19</v>
      </c>
      <c r="AG12" s="98" t="s">
        <v>18</v>
      </c>
      <c r="AH12" s="8" t="s">
        <v>12</v>
      </c>
      <c r="AI12" s="8" t="s">
        <v>12</v>
      </c>
      <c r="AJ12" s="10"/>
      <c r="AK12" s="7" t="s">
        <v>17</v>
      </c>
      <c r="AL12" s="90">
        <v>1</v>
      </c>
      <c r="AM12" s="10"/>
      <c r="AN12" s="11"/>
    </row>
    <row r="13" spans="1:40">
      <c r="A13" s="87" t="s">
        <v>35</v>
      </c>
      <c r="B13" s="57" t="s">
        <v>44</v>
      </c>
      <c r="C13" s="60" t="s">
        <v>12</v>
      </c>
      <c r="D13" s="61"/>
      <c r="E13" s="7" t="s">
        <v>18</v>
      </c>
      <c r="F13" s="7" t="s">
        <v>19</v>
      </c>
      <c r="G13" s="7" t="s">
        <v>18</v>
      </c>
      <c r="H13" s="7" t="s">
        <v>19</v>
      </c>
      <c r="I13" s="8" t="s">
        <v>12</v>
      </c>
      <c r="J13" s="8" t="s">
        <v>12</v>
      </c>
      <c r="K13" s="8" t="s">
        <v>12</v>
      </c>
      <c r="L13" s="61"/>
      <c r="M13" s="7" t="s">
        <v>18</v>
      </c>
      <c r="N13" s="59" t="s">
        <v>17</v>
      </c>
      <c r="O13" s="7" t="s">
        <v>18</v>
      </c>
      <c r="P13" s="7" t="s">
        <v>19</v>
      </c>
      <c r="Q13" s="7" t="s">
        <v>18</v>
      </c>
      <c r="R13" s="60" t="s">
        <v>12</v>
      </c>
      <c r="S13" s="60" t="s">
        <v>12</v>
      </c>
      <c r="T13" s="62"/>
      <c r="U13" s="60" t="s">
        <v>12</v>
      </c>
      <c r="V13" s="59" t="s">
        <v>17</v>
      </c>
      <c r="W13" s="7" t="s">
        <v>18</v>
      </c>
      <c r="X13" s="59" t="s">
        <v>19</v>
      </c>
      <c r="Y13" s="59" t="s">
        <v>18</v>
      </c>
      <c r="Z13" s="60" t="s">
        <v>12</v>
      </c>
      <c r="AA13" s="60" t="s">
        <v>12</v>
      </c>
      <c r="AB13" s="62"/>
      <c r="AC13" s="7" t="s">
        <v>19</v>
      </c>
      <c r="AD13" s="7" t="s">
        <v>18</v>
      </c>
      <c r="AE13" s="7" t="s">
        <v>19</v>
      </c>
      <c r="AF13" s="7" t="s">
        <v>18</v>
      </c>
      <c r="AG13" s="99" t="s">
        <v>19</v>
      </c>
      <c r="AH13" s="57" t="s">
        <v>44</v>
      </c>
      <c r="AI13" s="60" t="s">
        <v>12</v>
      </c>
      <c r="AJ13" s="62"/>
      <c r="AK13" s="7" t="s">
        <v>18</v>
      </c>
      <c r="AL13" s="90">
        <v>1</v>
      </c>
      <c r="AM13" s="62"/>
      <c r="AN13" s="6"/>
    </row>
    <row r="14" spans="1:40">
      <c r="A14" s="88" t="s">
        <v>42</v>
      </c>
      <c r="B14" s="8" t="s">
        <v>12</v>
      </c>
      <c r="C14" s="8" t="s">
        <v>12</v>
      </c>
      <c r="D14" s="9"/>
      <c r="E14" s="7" t="s">
        <v>18</v>
      </c>
      <c r="F14" s="7" t="s">
        <v>17</v>
      </c>
      <c r="G14" s="7" t="s">
        <v>18</v>
      </c>
      <c r="H14" s="7" t="s">
        <v>17</v>
      </c>
      <c r="I14" s="8" t="s">
        <v>12</v>
      </c>
      <c r="J14" s="8" t="s">
        <v>12</v>
      </c>
      <c r="K14" s="8" t="s">
        <v>12</v>
      </c>
      <c r="L14" s="9"/>
      <c r="M14" s="7" t="s">
        <v>18</v>
      </c>
      <c r="N14" s="7" t="s">
        <v>19</v>
      </c>
      <c r="O14" s="7" t="s">
        <v>18</v>
      </c>
      <c r="P14" s="7" t="s">
        <v>17</v>
      </c>
      <c r="Q14" s="7" t="s">
        <v>18</v>
      </c>
      <c r="R14" s="57" t="s">
        <v>44</v>
      </c>
      <c r="S14" s="8" t="s">
        <v>12</v>
      </c>
      <c r="T14" s="12"/>
      <c r="U14" s="60" t="s">
        <v>12</v>
      </c>
      <c r="V14" s="7" t="s">
        <v>19</v>
      </c>
      <c r="W14" s="7" t="s">
        <v>18</v>
      </c>
      <c r="X14" s="7" t="s">
        <v>17</v>
      </c>
      <c r="Y14" s="7" t="s">
        <v>18</v>
      </c>
      <c r="Z14" s="60" t="s">
        <v>12</v>
      </c>
      <c r="AA14" s="60" t="s">
        <v>12</v>
      </c>
      <c r="AB14" s="12"/>
      <c r="AC14" s="7" t="s">
        <v>17</v>
      </c>
      <c r="AD14" s="7" t="s">
        <v>18</v>
      </c>
      <c r="AE14" s="85" t="s">
        <v>17</v>
      </c>
      <c r="AF14" s="7" t="s">
        <v>18</v>
      </c>
      <c r="AG14" s="100" t="s">
        <v>17</v>
      </c>
      <c r="AH14" s="60" t="s">
        <v>12</v>
      </c>
      <c r="AI14" s="60" t="s">
        <v>12</v>
      </c>
      <c r="AJ14" s="12"/>
      <c r="AK14" s="7" t="s">
        <v>18</v>
      </c>
      <c r="AL14" s="90">
        <v>1</v>
      </c>
      <c r="AM14" s="12"/>
      <c r="AN14" s="6"/>
    </row>
    <row r="15" spans="1:40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6"/>
      <c r="L15" s="15"/>
      <c r="M15" s="15"/>
      <c r="N15" s="15"/>
      <c r="O15" s="17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8"/>
      <c r="AK15" s="18"/>
      <c r="AL15" s="18"/>
      <c r="AM15" s="18"/>
      <c r="AN15" s="11"/>
    </row>
    <row r="16" spans="1:40">
      <c r="A16" s="26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5"/>
      <c r="AM16" s="65"/>
      <c r="AN16" s="65"/>
    </row>
    <row r="17" spans="1:41">
      <c r="A17" s="135" t="s">
        <v>7</v>
      </c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47"/>
    </row>
    <row r="18" spans="1:41" ht="12" customHeight="1">
      <c r="A18" s="138" t="str">
        <f>+A9</f>
        <v>NOMBRE</v>
      </c>
      <c r="B18" s="53">
        <v>1</v>
      </c>
      <c r="C18" s="53">
        <v>2</v>
      </c>
      <c r="D18" s="140" t="s">
        <v>9</v>
      </c>
      <c r="E18" s="53">
        <v>3</v>
      </c>
      <c r="F18" s="53">
        <v>4</v>
      </c>
      <c r="G18" s="53">
        <v>5</v>
      </c>
      <c r="H18" s="53">
        <v>6</v>
      </c>
      <c r="I18" s="53">
        <v>7</v>
      </c>
      <c r="J18" s="53">
        <v>8</v>
      </c>
      <c r="K18" s="53">
        <v>9</v>
      </c>
      <c r="L18" s="140" t="s">
        <v>9</v>
      </c>
      <c r="M18" s="53">
        <v>10</v>
      </c>
      <c r="N18" s="53">
        <v>11</v>
      </c>
      <c r="O18" s="53">
        <v>12</v>
      </c>
      <c r="P18" s="53">
        <v>13</v>
      </c>
      <c r="Q18" s="53">
        <v>14</v>
      </c>
      <c r="R18" s="53">
        <v>15</v>
      </c>
      <c r="S18" s="53">
        <v>16</v>
      </c>
      <c r="T18" s="140" t="s">
        <v>9</v>
      </c>
      <c r="U18" s="53">
        <v>17</v>
      </c>
      <c r="V18" s="53">
        <v>18</v>
      </c>
      <c r="W18" s="53">
        <v>19</v>
      </c>
      <c r="X18" s="52">
        <v>20</v>
      </c>
      <c r="Y18" s="53">
        <v>21</v>
      </c>
      <c r="Z18" s="52">
        <v>22</v>
      </c>
      <c r="AA18" s="52">
        <v>23</v>
      </c>
      <c r="AB18" s="140" t="s">
        <v>9</v>
      </c>
      <c r="AC18" s="52">
        <v>24</v>
      </c>
      <c r="AD18" s="52">
        <v>25</v>
      </c>
      <c r="AE18" s="52">
        <v>26</v>
      </c>
      <c r="AF18" s="52">
        <v>27</v>
      </c>
      <c r="AG18" s="52">
        <v>28</v>
      </c>
      <c r="AH18" s="52">
        <v>29</v>
      </c>
      <c r="AI18" s="52">
        <v>30</v>
      </c>
      <c r="AJ18" s="143" t="s">
        <v>9</v>
      </c>
      <c r="AK18" s="52">
        <v>31</v>
      </c>
      <c r="AL18" s="145" t="s">
        <v>10</v>
      </c>
      <c r="AM18" s="66" t="s">
        <v>11</v>
      </c>
      <c r="AN18" s="19"/>
    </row>
    <row r="19" spans="1:41" ht="12" customHeight="1">
      <c r="A19" s="139"/>
      <c r="B19" s="55" t="s">
        <v>16</v>
      </c>
      <c r="C19" s="55" t="s">
        <v>17</v>
      </c>
      <c r="D19" s="141"/>
      <c r="E19" s="55" t="s">
        <v>12</v>
      </c>
      <c r="F19" s="55" t="s">
        <v>13</v>
      </c>
      <c r="G19" s="55" t="s">
        <v>13</v>
      </c>
      <c r="H19" s="55" t="s">
        <v>14</v>
      </c>
      <c r="I19" s="55" t="s">
        <v>15</v>
      </c>
      <c r="J19" s="55" t="s">
        <v>16</v>
      </c>
      <c r="K19" s="55" t="s">
        <v>17</v>
      </c>
      <c r="L19" s="141"/>
      <c r="M19" s="55" t="s">
        <v>12</v>
      </c>
      <c r="N19" s="55" t="s">
        <v>13</v>
      </c>
      <c r="O19" s="55" t="s">
        <v>13</v>
      </c>
      <c r="P19" s="55" t="s">
        <v>14</v>
      </c>
      <c r="Q19" s="55" t="s">
        <v>15</v>
      </c>
      <c r="R19" s="55" t="s">
        <v>16</v>
      </c>
      <c r="S19" s="55" t="s">
        <v>17</v>
      </c>
      <c r="T19" s="141"/>
      <c r="U19" s="55" t="s">
        <v>12</v>
      </c>
      <c r="V19" s="55" t="s">
        <v>13</v>
      </c>
      <c r="W19" s="55" t="s">
        <v>13</v>
      </c>
      <c r="X19" s="55" t="s">
        <v>14</v>
      </c>
      <c r="Y19" s="55" t="s">
        <v>15</v>
      </c>
      <c r="Z19" s="55" t="s">
        <v>16</v>
      </c>
      <c r="AA19" s="55" t="s">
        <v>17</v>
      </c>
      <c r="AB19" s="142"/>
      <c r="AC19" s="55" t="s">
        <v>12</v>
      </c>
      <c r="AD19" s="55" t="s">
        <v>13</v>
      </c>
      <c r="AE19" s="55" t="s">
        <v>13</v>
      </c>
      <c r="AF19" s="55" t="s">
        <v>14</v>
      </c>
      <c r="AG19" s="89" t="s">
        <v>15</v>
      </c>
      <c r="AH19" s="55" t="s">
        <v>16</v>
      </c>
      <c r="AI19" s="55" t="s">
        <v>17</v>
      </c>
      <c r="AJ19" s="144"/>
      <c r="AK19" s="55" t="s">
        <v>12</v>
      </c>
      <c r="AL19" s="146"/>
      <c r="AM19" s="67"/>
      <c r="AN19" s="19"/>
    </row>
    <row r="20" spans="1:41">
      <c r="A20" s="56" t="s">
        <v>34</v>
      </c>
      <c r="B20" s="20">
        <f>VLOOKUP(B11,$B$30:$O$38,14,0)</f>
        <v>0</v>
      </c>
      <c r="C20" s="20">
        <f>VLOOKUP(C11,$B$30:$Q$38,14,0)</f>
        <v>0</v>
      </c>
      <c r="D20" s="68">
        <f>SUM(B20:C20)</f>
        <v>0</v>
      </c>
      <c r="E20" s="20">
        <f t="shared" ref="E20:K20" si="0">VLOOKUP(E11,$B$30:$Q$38,14,0)</f>
        <v>10</v>
      </c>
      <c r="F20" s="20">
        <f t="shared" si="0"/>
        <v>7</v>
      </c>
      <c r="G20" s="20">
        <f t="shared" si="0"/>
        <v>8</v>
      </c>
      <c r="H20" s="20">
        <f t="shared" si="0"/>
        <v>7</v>
      </c>
      <c r="I20" s="20">
        <f t="shared" si="0"/>
        <v>0</v>
      </c>
      <c r="J20" s="20">
        <f t="shared" si="0"/>
        <v>11</v>
      </c>
      <c r="K20" s="90">
        <f t="shared" si="0"/>
        <v>0</v>
      </c>
      <c r="L20" s="69">
        <f>SUM(E20:K20)</f>
        <v>43</v>
      </c>
      <c r="M20" s="12">
        <f t="shared" ref="M20:S20" si="1">VLOOKUP(M11,$B$30:$Q$38,14,0)</f>
        <v>10</v>
      </c>
      <c r="N20" s="12">
        <f t="shared" si="1"/>
        <v>7</v>
      </c>
      <c r="O20" s="12">
        <f t="shared" si="1"/>
        <v>8</v>
      </c>
      <c r="P20" s="12">
        <f t="shared" si="1"/>
        <v>7</v>
      </c>
      <c r="Q20" s="12">
        <f t="shared" si="1"/>
        <v>8</v>
      </c>
      <c r="R20" s="12">
        <f t="shared" si="1"/>
        <v>0</v>
      </c>
      <c r="S20" s="12">
        <f t="shared" si="1"/>
        <v>0</v>
      </c>
      <c r="T20" s="92">
        <f>SUM(M20:S20)</f>
        <v>40</v>
      </c>
      <c r="U20" s="20">
        <f t="shared" ref="U20:AA20" si="2">VLOOKUP(U11,$B$30:$Q$38,14,0)</f>
        <v>0</v>
      </c>
      <c r="V20" s="20">
        <f t="shared" si="2"/>
        <v>7</v>
      </c>
      <c r="W20" s="20">
        <f t="shared" si="2"/>
        <v>8</v>
      </c>
      <c r="X20" s="20">
        <f t="shared" si="2"/>
        <v>7</v>
      </c>
      <c r="Y20" s="20">
        <f t="shared" si="2"/>
        <v>10</v>
      </c>
      <c r="Z20" s="20">
        <f t="shared" si="2"/>
        <v>0</v>
      </c>
      <c r="AA20" s="20">
        <f t="shared" si="2"/>
        <v>0</v>
      </c>
      <c r="AB20" s="94">
        <f>SUM(U20:AA20)</f>
        <v>32</v>
      </c>
      <c r="AC20" s="12">
        <f t="shared" ref="AC20:AI20" si="3">VLOOKUP(AC11,$B$30:$Q$38,14,0)</f>
        <v>7</v>
      </c>
      <c r="AD20" s="12">
        <f t="shared" si="3"/>
        <v>10</v>
      </c>
      <c r="AE20" s="12">
        <f t="shared" si="3"/>
        <v>7</v>
      </c>
      <c r="AF20" s="12">
        <f t="shared" si="3"/>
        <v>10</v>
      </c>
      <c r="AG20" s="12">
        <f t="shared" si="3"/>
        <v>7</v>
      </c>
      <c r="AH20" s="12">
        <f t="shared" si="3"/>
        <v>0</v>
      </c>
      <c r="AI20" s="12">
        <f t="shared" si="3"/>
        <v>0</v>
      </c>
      <c r="AJ20" s="70">
        <f>SUM(AC20:AI20)</f>
        <v>41</v>
      </c>
      <c r="AK20" s="12">
        <f>VLOOKUP(AK11,$B$30:$Q$38,14,0)</f>
        <v>10</v>
      </c>
      <c r="AL20" s="101">
        <v>1</v>
      </c>
      <c r="AM20" s="103">
        <f>D20+L20+T20+AB20+AJ20+AK20+AL20</f>
        <v>167</v>
      </c>
      <c r="AN20" s="21"/>
      <c r="AO20" s="71"/>
    </row>
    <row r="21" spans="1:41">
      <c r="A21" s="56" t="s">
        <v>21</v>
      </c>
      <c r="B21" s="20">
        <f t="shared" ref="B21:B23" si="4">VLOOKUP(B12,$B$30:$O$38,14,0)</f>
        <v>0</v>
      </c>
      <c r="C21" s="20">
        <f t="shared" ref="C21:C23" si="5">VLOOKUP(C12,$B$30:$Q$38,14,0)</f>
        <v>0</v>
      </c>
      <c r="D21" s="68">
        <f>SUM(B21:C21)</f>
        <v>0</v>
      </c>
      <c r="E21" s="20">
        <f t="shared" ref="E21:K23" si="6">VLOOKUP(E12,$B$30:$Q$38,14,0)</f>
        <v>8</v>
      </c>
      <c r="F21" s="20">
        <f t="shared" si="6"/>
        <v>7</v>
      </c>
      <c r="G21" s="20">
        <f t="shared" si="6"/>
        <v>10</v>
      </c>
      <c r="H21" s="20">
        <f t="shared" si="6"/>
        <v>7</v>
      </c>
      <c r="I21" s="20">
        <f t="shared" si="6"/>
        <v>0</v>
      </c>
      <c r="J21" s="20">
        <f t="shared" si="6"/>
        <v>0</v>
      </c>
      <c r="K21" s="90">
        <f t="shared" si="6"/>
        <v>0</v>
      </c>
      <c r="L21" s="69">
        <f>SUM(E21:K21)</f>
        <v>32</v>
      </c>
      <c r="M21" s="12">
        <f>VLOOKUP(M12,$B$30:$Q$38,14,0)</f>
        <v>8</v>
      </c>
      <c r="N21" s="12">
        <f t="shared" ref="N21:S23" si="7">VLOOKUP(N12,$B$30:$Q$38,14,0)</f>
        <v>7</v>
      </c>
      <c r="O21" s="12">
        <f t="shared" si="7"/>
        <v>10</v>
      </c>
      <c r="P21" s="12">
        <f t="shared" si="7"/>
        <v>7</v>
      </c>
      <c r="Q21" s="12">
        <f t="shared" si="7"/>
        <v>10</v>
      </c>
      <c r="R21" s="12">
        <f t="shared" si="7"/>
        <v>0</v>
      </c>
      <c r="S21" s="12">
        <f t="shared" si="7"/>
        <v>0</v>
      </c>
      <c r="T21" s="92">
        <f>SUM(M21:S21)</f>
        <v>42</v>
      </c>
      <c r="U21" s="20">
        <f t="shared" ref="U21:AA23" si="8">VLOOKUP(U12,$B$30:$Q$38,14,0)</f>
        <v>0</v>
      </c>
      <c r="V21" s="20">
        <f t="shared" si="8"/>
        <v>7</v>
      </c>
      <c r="W21" s="20">
        <f t="shared" si="8"/>
        <v>10</v>
      </c>
      <c r="X21" s="20">
        <f t="shared" si="8"/>
        <v>7</v>
      </c>
      <c r="Y21" s="20">
        <f t="shared" si="8"/>
        <v>8</v>
      </c>
      <c r="Z21" s="20">
        <f t="shared" si="8"/>
        <v>11</v>
      </c>
      <c r="AA21" s="20">
        <f t="shared" si="8"/>
        <v>0</v>
      </c>
      <c r="AB21" s="94">
        <f>SUM(U21:AA21)</f>
        <v>43</v>
      </c>
      <c r="AC21" s="12">
        <f t="shared" ref="AC21:AI23" si="9">VLOOKUP(AC12,$B$30:$Q$38,14,0)</f>
        <v>7</v>
      </c>
      <c r="AD21" s="12">
        <f t="shared" si="9"/>
        <v>10</v>
      </c>
      <c r="AE21" s="12">
        <f t="shared" si="9"/>
        <v>7</v>
      </c>
      <c r="AF21" s="12">
        <f t="shared" si="9"/>
        <v>8</v>
      </c>
      <c r="AG21" s="12">
        <f t="shared" si="9"/>
        <v>7</v>
      </c>
      <c r="AH21" s="12">
        <f t="shared" si="9"/>
        <v>0</v>
      </c>
      <c r="AI21" s="12">
        <f t="shared" si="9"/>
        <v>0</v>
      </c>
      <c r="AJ21" s="70">
        <f>SUM(AC21:AI21)</f>
        <v>39</v>
      </c>
      <c r="AK21" s="12">
        <f t="shared" ref="AK21:AK23" si="10">VLOOKUP(AK12,$B$30:$Q$38,14,0)</f>
        <v>10</v>
      </c>
      <c r="AL21" s="101">
        <v>1</v>
      </c>
      <c r="AM21" s="103">
        <f>D21+L21+T21+AB21+AJ21+AK21+AL21</f>
        <v>167</v>
      </c>
      <c r="AN21" s="21"/>
    </row>
    <row r="22" spans="1:41">
      <c r="A22" s="58" t="s">
        <v>35</v>
      </c>
      <c r="B22" s="20">
        <f t="shared" si="4"/>
        <v>11</v>
      </c>
      <c r="C22" s="20">
        <f t="shared" si="5"/>
        <v>0</v>
      </c>
      <c r="D22" s="68">
        <f>SUM(B22:C22)</f>
        <v>11</v>
      </c>
      <c r="E22" s="20">
        <f t="shared" si="6"/>
        <v>7</v>
      </c>
      <c r="F22" s="20">
        <f>VLOOKUP(F13,$B$30:$Q$38,14,0)</f>
        <v>8</v>
      </c>
      <c r="G22" s="20">
        <f t="shared" si="6"/>
        <v>7</v>
      </c>
      <c r="H22" s="20">
        <f t="shared" si="6"/>
        <v>8</v>
      </c>
      <c r="I22" s="20">
        <f t="shared" si="6"/>
        <v>0</v>
      </c>
      <c r="J22" s="20">
        <f t="shared" si="6"/>
        <v>0</v>
      </c>
      <c r="K22" s="90">
        <f t="shared" si="6"/>
        <v>0</v>
      </c>
      <c r="L22" s="69">
        <f>SUM(E22:K22)</f>
        <v>30</v>
      </c>
      <c r="M22" s="12">
        <f>VLOOKUP(M13,$B$30:$Q$38,14,0)</f>
        <v>7</v>
      </c>
      <c r="N22" s="12">
        <f t="shared" si="7"/>
        <v>10</v>
      </c>
      <c r="O22" s="12">
        <f t="shared" si="7"/>
        <v>7</v>
      </c>
      <c r="P22" s="12">
        <f t="shared" si="7"/>
        <v>8</v>
      </c>
      <c r="Q22" s="12">
        <f t="shared" si="7"/>
        <v>7</v>
      </c>
      <c r="R22" s="12">
        <f t="shared" si="7"/>
        <v>0</v>
      </c>
      <c r="S22" s="12">
        <f t="shared" si="7"/>
        <v>0</v>
      </c>
      <c r="T22" s="93">
        <f>SUM(M22:S22)</f>
        <v>39</v>
      </c>
      <c r="U22" s="20">
        <f t="shared" si="8"/>
        <v>0</v>
      </c>
      <c r="V22" s="20">
        <f t="shared" si="8"/>
        <v>10</v>
      </c>
      <c r="W22" s="20">
        <f t="shared" si="8"/>
        <v>7</v>
      </c>
      <c r="X22" s="20">
        <f t="shared" si="8"/>
        <v>8</v>
      </c>
      <c r="Y22" s="20">
        <f t="shared" si="8"/>
        <v>7</v>
      </c>
      <c r="Z22" s="20">
        <f t="shared" si="8"/>
        <v>0</v>
      </c>
      <c r="AA22" s="20">
        <f t="shared" si="8"/>
        <v>0</v>
      </c>
      <c r="AB22" s="95">
        <f>SUM(U22:AA22)</f>
        <v>32</v>
      </c>
      <c r="AC22" s="12">
        <f t="shared" si="9"/>
        <v>8</v>
      </c>
      <c r="AD22" s="12">
        <f t="shared" si="9"/>
        <v>7</v>
      </c>
      <c r="AE22" s="12">
        <f t="shared" si="9"/>
        <v>8</v>
      </c>
      <c r="AF22" s="12">
        <f t="shared" si="9"/>
        <v>7</v>
      </c>
      <c r="AG22" s="12">
        <f t="shared" si="9"/>
        <v>8</v>
      </c>
      <c r="AH22" s="12">
        <f t="shared" si="9"/>
        <v>11</v>
      </c>
      <c r="AI22" s="12">
        <f t="shared" si="9"/>
        <v>0</v>
      </c>
      <c r="AJ22" s="70">
        <f>SUM(AC22:AI22)</f>
        <v>49</v>
      </c>
      <c r="AK22" s="12">
        <f t="shared" si="10"/>
        <v>7</v>
      </c>
      <c r="AL22" s="101">
        <v>1</v>
      </c>
      <c r="AM22" s="104">
        <f>D22+L22+T22+AB22+AJ22+AK22+AL22</f>
        <v>169</v>
      </c>
      <c r="AN22" s="22"/>
    </row>
    <row r="23" spans="1:41">
      <c r="A23" s="63" t="s">
        <v>42</v>
      </c>
      <c r="B23" s="20">
        <f t="shared" si="4"/>
        <v>0</v>
      </c>
      <c r="C23" s="20">
        <f t="shared" si="5"/>
        <v>0</v>
      </c>
      <c r="D23" s="68">
        <f>SUM(B23:C23)</f>
        <v>0</v>
      </c>
      <c r="E23" s="20">
        <f t="shared" si="6"/>
        <v>7</v>
      </c>
      <c r="F23" s="20">
        <f t="shared" si="6"/>
        <v>10</v>
      </c>
      <c r="G23" s="20">
        <f t="shared" si="6"/>
        <v>7</v>
      </c>
      <c r="H23" s="20">
        <f t="shared" si="6"/>
        <v>10</v>
      </c>
      <c r="I23" s="20">
        <f t="shared" si="6"/>
        <v>0</v>
      </c>
      <c r="J23" s="20">
        <f t="shared" si="6"/>
        <v>0</v>
      </c>
      <c r="K23" s="90">
        <f t="shared" si="6"/>
        <v>0</v>
      </c>
      <c r="L23" s="69">
        <f>SUM(E23:K23)</f>
        <v>34</v>
      </c>
      <c r="M23" s="12">
        <f>VLOOKUP(M14,$B$30:$Q$38,14,0)</f>
        <v>7</v>
      </c>
      <c r="N23" s="12">
        <f t="shared" si="7"/>
        <v>8</v>
      </c>
      <c r="O23" s="12">
        <f t="shared" si="7"/>
        <v>7</v>
      </c>
      <c r="P23" s="12">
        <f t="shared" si="7"/>
        <v>10</v>
      </c>
      <c r="Q23" s="12">
        <f t="shared" si="7"/>
        <v>7</v>
      </c>
      <c r="R23" s="12">
        <f>VLOOKUP(R14,$B$30:$Q$38,14,0)</f>
        <v>11</v>
      </c>
      <c r="S23" s="12">
        <f t="shared" si="7"/>
        <v>0</v>
      </c>
      <c r="T23" s="92">
        <f>SUM(M23:S23)</f>
        <v>50</v>
      </c>
      <c r="U23" s="20">
        <f t="shared" si="8"/>
        <v>0</v>
      </c>
      <c r="V23" s="20">
        <f t="shared" si="8"/>
        <v>8</v>
      </c>
      <c r="W23" s="20">
        <f t="shared" si="8"/>
        <v>7</v>
      </c>
      <c r="X23" s="20">
        <f t="shared" si="8"/>
        <v>10</v>
      </c>
      <c r="Y23" s="20">
        <f t="shared" si="8"/>
        <v>7</v>
      </c>
      <c r="Z23" s="20">
        <f t="shared" si="8"/>
        <v>0</v>
      </c>
      <c r="AA23" s="20">
        <f t="shared" si="8"/>
        <v>0</v>
      </c>
      <c r="AB23" s="94">
        <f>SUM(U23:AA23)</f>
        <v>32</v>
      </c>
      <c r="AC23" s="12">
        <f t="shared" si="9"/>
        <v>10</v>
      </c>
      <c r="AD23" s="12">
        <f t="shared" si="9"/>
        <v>7</v>
      </c>
      <c r="AE23" s="12">
        <f t="shared" si="9"/>
        <v>10</v>
      </c>
      <c r="AF23" s="12">
        <f t="shared" si="9"/>
        <v>7</v>
      </c>
      <c r="AG23" s="12">
        <f t="shared" si="9"/>
        <v>10</v>
      </c>
      <c r="AH23" s="12">
        <f t="shared" si="9"/>
        <v>0</v>
      </c>
      <c r="AI23" s="12">
        <f t="shared" si="9"/>
        <v>0</v>
      </c>
      <c r="AJ23" s="70">
        <f>SUM(AC23:AI23)</f>
        <v>44</v>
      </c>
      <c r="AK23" s="12">
        <f t="shared" si="10"/>
        <v>7</v>
      </c>
      <c r="AL23" s="101">
        <v>1</v>
      </c>
      <c r="AM23" s="103">
        <f>D23+L23+T23+AB23+AJ23+AK23+AL23</f>
        <v>168</v>
      </c>
      <c r="AN23" s="22"/>
    </row>
    <row r="24" spans="1:41">
      <c r="A24" s="72" t="s">
        <v>23</v>
      </c>
      <c r="B24" s="73">
        <f t="shared" ref="B24:AM24" si="11">SUM(B20:B23)</f>
        <v>11</v>
      </c>
      <c r="C24" s="73">
        <f t="shared" si="11"/>
        <v>0</v>
      </c>
      <c r="D24" s="73">
        <f t="shared" si="11"/>
        <v>11</v>
      </c>
      <c r="E24" s="73">
        <f t="shared" si="11"/>
        <v>32</v>
      </c>
      <c r="F24" s="73">
        <f t="shared" si="11"/>
        <v>32</v>
      </c>
      <c r="G24" s="73">
        <f t="shared" si="11"/>
        <v>32</v>
      </c>
      <c r="H24" s="73">
        <f t="shared" si="11"/>
        <v>32</v>
      </c>
      <c r="I24" s="73">
        <f t="shared" si="11"/>
        <v>0</v>
      </c>
      <c r="J24" s="73">
        <f t="shared" si="11"/>
        <v>11</v>
      </c>
      <c r="K24" s="75">
        <f t="shared" si="11"/>
        <v>0</v>
      </c>
      <c r="L24" s="91">
        <f t="shared" si="11"/>
        <v>139</v>
      </c>
      <c r="M24" s="91">
        <f t="shared" si="11"/>
        <v>32</v>
      </c>
      <c r="N24" s="91">
        <f t="shared" si="11"/>
        <v>32</v>
      </c>
      <c r="O24" s="91">
        <f t="shared" si="11"/>
        <v>32</v>
      </c>
      <c r="P24" s="91">
        <f t="shared" si="11"/>
        <v>32</v>
      </c>
      <c r="Q24" s="91">
        <f t="shared" si="11"/>
        <v>32</v>
      </c>
      <c r="R24" s="91">
        <f t="shared" si="11"/>
        <v>11</v>
      </c>
      <c r="S24" s="91">
        <f t="shared" si="11"/>
        <v>0</v>
      </c>
      <c r="T24" s="73">
        <f t="shared" si="11"/>
        <v>171</v>
      </c>
      <c r="U24" s="73">
        <f t="shared" si="11"/>
        <v>0</v>
      </c>
      <c r="V24" s="73">
        <f t="shared" si="11"/>
        <v>32</v>
      </c>
      <c r="W24" s="73">
        <f t="shared" si="11"/>
        <v>32</v>
      </c>
      <c r="X24" s="73">
        <f t="shared" si="11"/>
        <v>32</v>
      </c>
      <c r="Y24" s="73">
        <f t="shared" si="11"/>
        <v>32</v>
      </c>
      <c r="Z24" s="73">
        <f t="shared" si="11"/>
        <v>11</v>
      </c>
      <c r="AA24" s="73">
        <f t="shared" si="11"/>
        <v>0</v>
      </c>
      <c r="AB24" s="75">
        <f t="shared" si="11"/>
        <v>139</v>
      </c>
      <c r="AC24" s="91">
        <f t="shared" si="11"/>
        <v>32</v>
      </c>
      <c r="AD24" s="91">
        <f t="shared" si="11"/>
        <v>34</v>
      </c>
      <c r="AE24" s="91">
        <f t="shared" si="11"/>
        <v>32</v>
      </c>
      <c r="AF24" s="91">
        <f t="shared" si="11"/>
        <v>32</v>
      </c>
      <c r="AG24" s="91">
        <f t="shared" si="11"/>
        <v>32</v>
      </c>
      <c r="AH24" s="97">
        <f t="shared" si="11"/>
        <v>11</v>
      </c>
      <c r="AI24" s="97">
        <f t="shared" si="11"/>
        <v>0</v>
      </c>
      <c r="AJ24" s="74">
        <f t="shared" si="11"/>
        <v>173</v>
      </c>
      <c r="AK24" s="102">
        <f t="shared" si="11"/>
        <v>34</v>
      </c>
      <c r="AL24" s="75">
        <f t="shared" si="11"/>
        <v>4</v>
      </c>
      <c r="AM24" s="76">
        <f t="shared" si="11"/>
        <v>671</v>
      </c>
      <c r="AN24" s="23"/>
    </row>
    <row r="25" spans="1:41">
      <c r="A25" s="1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5"/>
    </row>
    <row r="26" spans="1:41">
      <c r="A26" s="1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5"/>
    </row>
    <row r="27" spans="1:41">
      <c r="A27" s="1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5"/>
    </row>
    <row r="28" spans="1:41">
      <c r="A28" s="27" t="s">
        <v>24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9"/>
      <c r="AM28" s="28"/>
      <c r="AN28" s="30"/>
    </row>
    <row r="29" spans="1:41" ht="14.25" customHeight="1">
      <c r="A29" s="27"/>
      <c r="B29" s="107" t="s">
        <v>25</v>
      </c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9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8"/>
      <c r="AK29" s="28"/>
      <c r="AL29" s="29"/>
      <c r="AM29" s="28"/>
      <c r="AN29" s="30"/>
    </row>
    <row r="30" spans="1:41" ht="13.5" customHeight="1">
      <c r="A30" s="30"/>
      <c r="B30" s="110" t="s">
        <v>26</v>
      </c>
      <c r="C30" s="110"/>
      <c r="D30" s="110"/>
      <c r="E30" s="110"/>
      <c r="F30" s="111" t="s">
        <v>27</v>
      </c>
      <c r="G30" s="111"/>
      <c r="H30" s="111"/>
      <c r="I30" s="111" t="s">
        <v>28</v>
      </c>
      <c r="J30" s="111"/>
      <c r="K30" s="111" t="s">
        <v>29</v>
      </c>
      <c r="L30" s="111"/>
      <c r="M30" s="111" t="s">
        <v>30</v>
      </c>
      <c r="N30" s="111"/>
      <c r="O30" s="110" t="s">
        <v>22</v>
      </c>
      <c r="P30" s="110"/>
      <c r="Q30" s="110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48"/>
      <c r="AC30" s="48"/>
      <c r="AD30" s="48"/>
      <c r="AE30" s="48"/>
      <c r="AF30" s="48"/>
      <c r="AG30" s="48"/>
      <c r="AH30" s="48"/>
      <c r="AI30" s="48"/>
      <c r="AJ30" s="28"/>
      <c r="AK30" s="28"/>
      <c r="AL30" s="114"/>
      <c r="AM30" s="114"/>
      <c r="AN30" s="32"/>
    </row>
    <row r="31" spans="1:41">
      <c r="A31" s="30"/>
      <c r="B31" s="77" t="s">
        <v>17</v>
      </c>
      <c r="C31" s="112" t="s">
        <v>7</v>
      </c>
      <c r="D31" s="112"/>
      <c r="E31" s="112"/>
      <c r="F31" s="105">
        <v>0.25</v>
      </c>
      <c r="G31" s="105"/>
      <c r="H31" s="105"/>
      <c r="I31" s="105">
        <v>0.45833333333333331</v>
      </c>
      <c r="J31" s="105"/>
      <c r="K31" s="105">
        <v>0.54166666666666663</v>
      </c>
      <c r="L31" s="105"/>
      <c r="M31" s="105">
        <v>0.75</v>
      </c>
      <c r="N31" s="105"/>
      <c r="O31" s="78">
        <v>10</v>
      </c>
      <c r="P31" s="79"/>
      <c r="Q31" s="79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30"/>
      <c r="AM31" s="33"/>
      <c r="AN31" s="32"/>
    </row>
    <row r="32" spans="1:41">
      <c r="A32" s="30"/>
      <c r="B32" s="77" t="s">
        <v>19</v>
      </c>
      <c r="C32" s="112" t="s">
        <v>7</v>
      </c>
      <c r="D32" s="112"/>
      <c r="E32" s="112"/>
      <c r="F32" s="105">
        <v>0.25</v>
      </c>
      <c r="G32" s="105"/>
      <c r="H32" s="105"/>
      <c r="I32" s="105">
        <v>0.45833333333333331</v>
      </c>
      <c r="J32" s="105"/>
      <c r="K32" s="105">
        <v>0.54166666666666663</v>
      </c>
      <c r="L32" s="105"/>
      <c r="M32" s="105">
        <v>0.66666666666666663</v>
      </c>
      <c r="N32" s="105"/>
      <c r="O32" s="78">
        <v>8</v>
      </c>
      <c r="P32" s="79"/>
      <c r="Q32" s="79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6"/>
      <c r="AM32" s="6"/>
      <c r="AN32" s="32"/>
    </row>
    <row r="33" spans="1:40">
      <c r="A33" s="30"/>
      <c r="B33" s="77" t="s">
        <v>18</v>
      </c>
      <c r="C33" s="112" t="s">
        <v>36</v>
      </c>
      <c r="D33" s="112"/>
      <c r="E33" s="112"/>
      <c r="F33" s="105">
        <v>0.25</v>
      </c>
      <c r="G33" s="105"/>
      <c r="H33" s="105"/>
      <c r="I33" s="105">
        <v>0.54166666666666663</v>
      </c>
      <c r="J33" s="105"/>
      <c r="K33" s="105"/>
      <c r="L33" s="105"/>
      <c r="M33" s="105"/>
      <c r="N33" s="105"/>
      <c r="O33" s="78">
        <v>7</v>
      </c>
      <c r="P33" s="79"/>
      <c r="Q33" s="79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113"/>
      <c r="AM33" s="113"/>
      <c r="AN33" s="32"/>
    </row>
    <row r="34" spans="1:40">
      <c r="A34" s="30"/>
      <c r="B34" s="80" t="s">
        <v>13</v>
      </c>
      <c r="C34" s="112" t="s">
        <v>37</v>
      </c>
      <c r="D34" s="112"/>
      <c r="E34" s="112"/>
      <c r="F34" s="105">
        <v>0.25</v>
      </c>
      <c r="G34" s="105"/>
      <c r="H34" s="105"/>
      <c r="I34" s="105">
        <v>0.5</v>
      </c>
      <c r="J34" s="105"/>
      <c r="K34" s="105">
        <v>0.54166666666666696</v>
      </c>
      <c r="L34" s="105"/>
      <c r="M34" s="105">
        <v>0.66666666666666663</v>
      </c>
      <c r="N34" s="105"/>
      <c r="O34" s="78">
        <v>9</v>
      </c>
      <c r="P34" s="79"/>
      <c r="Q34" s="79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34"/>
      <c r="AM34" s="34"/>
      <c r="AN34" s="32"/>
    </row>
    <row r="35" spans="1:40">
      <c r="A35" s="30"/>
      <c r="B35" s="77" t="s">
        <v>20</v>
      </c>
      <c r="C35" s="112" t="s">
        <v>7</v>
      </c>
      <c r="D35" s="112"/>
      <c r="E35" s="112"/>
      <c r="F35" s="105">
        <v>0.25</v>
      </c>
      <c r="G35" s="105"/>
      <c r="H35" s="105"/>
      <c r="I35" s="105">
        <v>0.54166666666666663</v>
      </c>
      <c r="J35" s="105"/>
      <c r="K35" s="105"/>
      <c r="L35" s="105"/>
      <c r="M35" s="105"/>
      <c r="N35" s="105"/>
      <c r="O35" s="78">
        <v>7</v>
      </c>
      <c r="P35" s="79"/>
      <c r="Q35" s="79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34"/>
      <c r="AM35" s="34"/>
      <c r="AN35" s="32"/>
    </row>
    <row r="36" spans="1:40">
      <c r="A36" s="30"/>
      <c r="B36" s="77" t="s">
        <v>12</v>
      </c>
      <c r="C36" s="112" t="s">
        <v>31</v>
      </c>
      <c r="D36" s="112"/>
      <c r="E36" s="112"/>
      <c r="F36" s="105"/>
      <c r="G36" s="105"/>
      <c r="H36" s="105"/>
      <c r="I36" s="105"/>
      <c r="J36" s="105"/>
      <c r="K36" s="106"/>
      <c r="L36" s="106"/>
      <c r="M36" s="81"/>
      <c r="N36" s="81"/>
      <c r="O36" s="78">
        <v>0</v>
      </c>
      <c r="P36" s="79"/>
      <c r="Q36" s="79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28"/>
      <c r="AK36" s="28"/>
      <c r="AL36" s="30"/>
      <c r="AM36" s="6"/>
      <c r="AN36" s="32"/>
    </row>
    <row r="37" spans="1:40">
      <c r="A37" s="30"/>
      <c r="B37" s="77" t="s">
        <v>44</v>
      </c>
      <c r="C37" s="112" t="s">
        <v>38</v>
      </c>
      <c r="D37" s="112"/>
      <c r="E37" s="112"/>
      <c r="F37" s="105">
        <v>0.25</v>
      </c>
      <c r="G37" s="105"/>
      <c r="H37" s="105"/>
      <c r="I37" s="105">
        <v>0.45833333333333331</v>
      </c>
      <c r="J37" s="105"/>
      <c r="K37" s="105">
        <v>0.54166666666666663</v>
      </c>
      <c r="L37" s="105"/>
      <c r="M37" s="105">
        <v>0.625</v>
      </c>
      <c r="N37" s="105"/>
      <c r="O37" s="78">
        <v>11</v>
      </c>
      <c r="P37" s="79"/>
      <c r="Q37" s="79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28"/>
      <c r="AK37" s="28"/>
      <c r="AL37" s="30"/>
      <c r="AM37" s="6"/>
      <c r="AN37" s="32"/>
    </row>
    <row r="38" spans="1:40">
      <c r="A38" s="30"/>
      <c r="B38" s="77" t="s">
        <v>10</v>
      </c>
      <c r="C38" s="96" t="s">
        <v>32</v>
      </c>
      <c r="D38" s="96"/>
      <c r="E38" s="96"/>
      <c r="F38" s="105"/>
      <c r="G38" s="105"/>
      <c r="H38" s="105"/>
      <c r="I38" s="105"/>
      <c r="J38" s="105"/>
      <c r="K38" s="106"/>
      <c r="L38" s="106"/>
      <c r="M38" s="81"/>
      <c r="N38" s="81"/>
      <c r="O38" s="78">
        <v>1</v>
      </c>
      <c r="P38" s="79"/>
      <c r="Q38" s="79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28"/>
      <c r="AK38" s="28"/>
      <c r="AL38" s="30"/>
      <c r="AM38" s="6"/>
      <c r="AN38" s="32"/>
    </row>
    <row r="39" spans="1:40">
      <c r="A39" s="37"/>
      <c r="B39" s="26"/>
      <c r="C39" s="2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0"/>
      <c r="AM39" s="30"/>
      <c r="AN39" s="30"/>
    </row>
    <row r="40" spans="1:40">
      <c r="A40" s="38"/>
      <c r="B40" s="6"/>
      <c r="C40" s="6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3"/>
      <c r="AM40" s="33"/>
      <c r="AN40" s="33"/>
    </row>
    <row r="41" spans="1:40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2"/>
      <c r="AM41" s="41"/>
      <c r="AN41" s="33"/>
    </row>
    <row r="42" spans="1:40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</row>
    <row r="43" spans="1:40">
      <c r="A43" s="44"/>
      <c r="B43" s="6"/>
      <c r="C43" s="6"/>
      <c r="D43" s="6"/>
      <c r="E43" s="45"/>
      <c r="F43" s="45"/>
      <c r="G43" s="45"/>
      <c r="H43" s="45"/>
      <c r="I43" s="45"/>
      <c r="J43" s="45"/>
      <c r="K43" s="45"/>
      <c r="L43" s="45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</row>
    <row r="44" spans="1:40" ht="25.5" customHeight="1">
      <c r="A44" s="149" t="s">
        <v>39</v>
      </c>
      <c r="B44" s="149"/>
      <c r="C44" s="149"/>
      <c r="I44" s="83" t="s">
        <v>40</v>
      </c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</row>
    <row r="45" spans="1:40" ht="40.5" customHeight="1">
      <c r="A45" s="150" t="s">
        <v>41</v>
      </c>
      <c r="B45" s="150"/>
      <c r="D45" s="6"/>
      <c r="F45" s="148" t="s">
        <v>43</v>
      </c>
      <c r="G45" s="148"/>
      <c r="H45" s="148"/>
      <c r="I45" s="148"/>
      <c r="J45" s="148"/>
      <c r="K45" s="148"/>
      <c r="L45" s="148"/>
      <c r="M45" s="148"/>
      <c r="S45" s="147" t="s">
        <v>33</v>
      </c>
      <c r="T45" s="147"/>
      <c r="U45" s="147"/>
      <c r="V45" s="147"/>
      <c r="W45" s="147"/>
      <c r="X45" s="147"/>
      <c r="Y45" s="147"/>
      <c r="Z45" s="147"/>
      <c r="AA45" s="147"/>
      <c r="AB45" s="147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</row>
  </sheetData>
  <mergeCells count="75">
    <mergeCell ref="C37:E37"/>
    <mergeCell ref="F37:H37"/>
    <mergeCell ref="I37:J37"/>
    <mergeCell ref="K37:L37"/>
    <mergeCell ref="M37:N37"/>
    <mergeCell ref="S45:AB45"/>
    <mergeCell ref="F45:M45"/>
    <mergeCell ref="A44:C44"/>
    <mergeCell ref="A45:B45"/>
    <mergeCell ref="F38:H38"/>
    <mergeCell ref="I38:J38"/>
    <mergeCell ref="K38:L38"/>
    <mergeCell ref="C33:E33"/>
    <mergeCell ref="C31:E31"/>
    <mergeCell ref="C32:E32"/>
    <mergeCell ref="M31:N31"/>
    <mergeCell ref="F32:H32"/>
    <mergeCell ref="I32:J32"/>
    <mergeCell ref="K32:L32"/>
    <mergeCell ref="M32:N32"/>
    <mergeCell ref="F33:H33"/>
    <mergeCell ref="I33:J33"/>
    <mergeCell ref="A17:AM17"/>
    <mergeCell ref="AB9:AB10"/>
    <mergeCell ref="AL9:AL10"/>
    <mergeCell ref="A18:A19"/>
    <mergeCell ref="D18:D19"/>
    <mergeCell ref="L18:L19"/>
    <mergeCell ref="AB18:AB19"/>
    <mergeCell ref="T18:T19"/>
    <mergeCell ref="AJ9:AJ10"/>
    <mergeCell ref="AJ18:AJ19"/>
    <mergeCell ref="AL18:AL19"/>
    <mergeCell ref="A1:A4"/>
    <mergeCell ref="B1:R4"/>
    <mergeCell ref="A9:A10"/>
    <mergeCell ref="D9:D10"/>
    <mergeCell ref="L9:L10"/>
    <mergeCell ref="A8:AM8"/>
    <mergeCell ref="T9:T10"/>
    <mergeCell ref="AL1:AN1"/>
    <mergeCell ref="AL2:AN2"/>
    <mergeCell ref="AL3:AN3"/>
    <mergeCell ref="AL4:AN4"/>
    <mergeCell ref="B5:AL5"/>
    <mergeCell ref="B6:AL6"/>
    <mergeCell ref="B7:AM7"/>
    <mergeCell ref="AL33:AM33"/>
    <mergeCell ref="AL30:AM30"/>
    <mergeCell ref="F31:H31"/>
    <mergeCell ref="I31:J31"/>
    <mergeCell ref="K31:L31"/>
    <mergeCell ref="K33:L33"/>
    <mergeCell ref="M33:N33"/>
    <mergeCell ref="C35:E35"/>
    <mergeCell ref="C36:E36"/>
    <mergeCell ref="C34:E34"/>
    <mergeCell ref="F35:H35"/>
    <mergeCell ref="I35:J35"/>
    <mergeCell ref="F34:H34"/>
    <mergeCell ref="I34:J34"/>
    <mergeCell ref="B29:Q29"/>
    <mergeCell ref="B30:E30"/>
    <mergeCell ref="F30:H30"/>
    <mergeCell ref="I30:J30"/>
    <mergeCell ref="K30:L30"/>
    <mergeCell ref="M30:N30"/>
    <mergeCell ref="O30:Q30"/>
    <mergeCell ref="K34:L34"/>
    <mergeCell ref="M34:N34"/>
    <mergeCell ref="K35:L35"/>
    <mergeCell ref="M35:N35"/>
    <mergeCell ref="F36:H36"/>
    <mergeCell ref="I36:J36"/>
    <mergeCell ref="K36:L36"/>
  </mergeCells>
  <conditionalFormatting sqref="I31:I35 K31:K38 M31:M38 I37">
    <cfRule type="cellIs" priority="1" operator="equal">
      <formula>#REF!</formula>
    </cfRule>
  </conditionalFormatting>
  <pageMargins left="0.7" right="0.7" top="0.75" bottom="0.75" header="0.3" footer="0.3"/>
  <pageSetup orientation="landscape" verticalDpi="0" r:id="rId1"/>
  <ignoredErrors>
    <ignoredError sqref="AB23 AJ20:AJ23 D23 L23 T21 AB20:AB22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 externa HLN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HLNFACENF01</dc:creator>
  <cp:lastModifiedBy>Nicolás Fernando Bedoya Mejía</cp:lastModifiedBy>
  <cp:lastPrinted>2026-06-30T15:37:18Z</cp:lastPrinted>
  <dcterms:created xsi:type="dcterms:W3CDTF">2025-10-06T15:25:00Z</dcterms:created>
  <dcterms:modified xsi:type="dcterms:W3CDTF">2026-07-31T19:41:11Z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23B96F24E6164965A4411CEB28B90777_13</vt:lpwstr>
  </property>
  <property fmtid="{D5CDD505-2E9C-101B-9397-08002B2CF9AE}" pid="3" name="KSOProductBuildVer">
    <vt:lpwstr>3082-12.2.0.23155</vt:lpwstr>
  </property>
</Properties>
</file>