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ebe179f5566a80cf/Mundo Salud Médica/PROYECTO MSM/Programacion_Turnos/"/>
    </mc:Choice>
  </mc:AlternateContent>
  <xr:revisionPtr revIDLastSave="1" documentId="8_{6BA325EA-1612-42EC-AE5C-ECCDFDD0FDF7}" xr6:coauthVersionLast="47" xr6:coauthVersionMax="47" xr10:uidLastSave="{8237D82C-BA6D-4A55-927E-D387185A0CB8}"/>
  <bookViews>
    <workbookView xWindow="-31590" yWindow="1620" windowWidth="25580" windowHeight="15260" activeTab="4" xr2:uid="{00000000-000D-0000-FFFF-FFFF00000000}"/>
  </bookViews>
  <sheets>
    <sheet name="ADMISION HLN" sheetId="15" r:id="rId1"/>
    <sheet name="URGENCIAS HLN" sheetId="14" r:id="rId2"/>
    <sheet name="LIQUIDACION HLN" sheetId="17" r:id="rId3"/>
    <sheet name="AUTORIZACIONES" sheetId="11" r:id="rId4"/>
    <sheet name="ADMISION ADMINISTRATIVA" sheetId="19" r:id="rId5"/>
  </sheets>
  <definedNames>
    <definedName name="_xlnm.Print_Area" localSheetId="4">'ADMISION ADMINISTRATIVA'!$A$1:$AS$34</definedName>
    <definedName name="_xlnm.Print_Area" localSheetId="0">'ADMISION HLN'!$A$1:$AU$41</definedName>
    <definedName name="_xlnm.Print_Area" localSheetId="2">'LIQUIDACION HLN'!$A$1:$AS$42</definedName>
    <definedName name="_xlnm.Print_Area" localSheetId="1">'URGENCIAS HLN'!$A$1:$AU$41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O22" i="15" l="1"/>
  <c r="AO21" i="15"/>
  <c r="AM22" i="15"/>
  <c r="AM21" i="15"/>
  <c r="AM20" i="15"/>
  <c r="AM19" i="15"/>
  <c r="AI23" i="15"/>
  <c r="AH23" i="15"/>
  <c r="AG23" i="15"/>
  <c r="AF23" i="15"/>
  <c r="AE23" i="15"/>
  <c r="AH22" i="15"/>
  <c r="AK22" i="15" s="1"/>
  <c r="AH21" i="15"/>
  <c r="AG21" i="15"/>
  <c r="AK21" i="15" s="1"/>
  <c r="AC23" i="15"/>
  <c r="AK20" i="15"/>
  <c r="AK19" i="15"/>
  <c r="AG19" i="15"/>
  <c r="AF19" i="15"/>
  <c r="AF20" i="15"/>
  <c r="AE20" i="15"/>
  <c r="AE22" i="15"/>
  <c r="AH19" i="15"/>
  <c r="AG20" i="15"/>
  <c r="AH20" i="15"/>
  <c r="AG22" i="15"/>
  <c r="AF22" i="15"/>
  <c r="AF21" i="15"/>
  <c r="AE21" i="15"/>
  <c r="AE19" i="15"/>
  <c r="AO22" i="14"/>
  <c r="AO21" i="14"/>
  <c r="AM22" i="14"/>
  <c r="AM21" i="14"/>
  <c r="AM20" i="14"/>
  <c r="AM19" i="14"/>
  <c r="AK23" i="14"/>
  <c r="AJ23" i="14"/>
  <c r="AI23" i="14"/>
  <c r="AH23" i="14"/>
  <c r="AK22" i="14"/>
  <c r="AK21" i="14"/>
  <c r="AK20" i="14"/>
  <c r="AK19" i="14"/>
  <c r="AI22" i="14"/>
  <c r="AH21" i="14"/>
  <c r="AJ22" i="14"/>
  <c r="AJ21" i="14"/>
  <c r="AI21" i="14"/>
  <c r="AH22" i="14"/>
  <c r="AI19" i="14"/>
  <c r="AJ19" i="14"/>
  <c r="AJ20" i="14"/>
  <c r="AI20" i="14"/>
  <c r="AH20" i="14"/>
  <c r="AH19" i="14"/>
  <c r="AL24" i="17"/>
  <c r="AM23" i="17" s="1"/>
  <c r="AJ24" i="17"/>
  <c r="AJ23" i="17"/>
  <c r="AJ22" i="17"/>
  <c r="AJ21" i="17"/>
  <c r="AJ20" i="17"/>
  <c r="AI24" i="17"/>
  <c r="AH24" i="17"/>
  <c r="AG24" i="17"/>
  <c r="AF24" i="17"/>
  <c r="AI23" i="17"/>
  <c r="AH23" i="17"/>
  <c r="AG23" i="17"/>
  <c r="AF23" i="17"/>
  <c r="AI22" i="17"/>
  <c r="AH22" i="17"/>
  <c r="AG22" i="17"/>
  <c r="AF22" i="17"/>
  <c r="AI21" i="17"/>
  <c r="AH21" i="17"/>
  <c r="AG21" i="17"/>
  <c r="AF21" i="17"/>
  <c r="AI20" i="17"/>
  <c r="AH20" i="17"/>
  <c r="AG20" i="17"/>
  <c r="AF20" i="17"/>
  <c r="AL20" i="17"/>
  <c r="AL21" i="17"/>
  <c r="AM20" i="17" s="1"/>
  <c r="AL22" i="17"/>
  <c r="AM21" i="17" s="1"/>
  <c r="AL23" i="17"/>
  <c r="AM22" i="17" s="1"/>
  <c r="AM24" i="17" l="1"/>
  <c r="AM25" i="17" s="1"/>
  <c r="AK23" i="15"/>
  <c r="AL25" i="17"/>
  <c r="AG25" i="17"/>
  <c r="AH25" i="17"/>
  <c r="AJ25" i="17"/>
  <c r="AI25" i="17"/>
  <c r="AF25" i="17"/>
  <c r="AJ18" i="11" l="1"/>
  <c r="AJ17" i="11"/>
  <c r="AI18" i="11"/>
  <c r="AI17" i="11"/>
  <c r="AH18" i="11"/>
  <c r="AH17" i="11"/>
  <c r="AH19" i="11" s="1"/>
  <c r="AL16" i="19"/>
  <c r="AM16" i="19" s="1"/>
  <c r="AE16" i="19"/>
  <c r="AE17" i="19" s="1"/>
  <c r="AJ16" i="19"/>
  <c r="AI16" i="19"/>
  <c r="AI17" i="19" s="1"/>
  <c r="AH16" i="19"/>
  <c r="AG16" i="19"/>
  <c r="AG17" i="19" s="1"/>
  <c r="AN25" i="17"/>
  <c r="AG18" i="11"/>
  <c r="AG17" i="11"/>
  <c r="AL17" i="11"/>
  <c r="AL18" i="11"/>
  <c r="AM18" i="11" s="1"/>
  <c r="AG22" i="14"/>
  <c r="AG21" i="14"/>
  <c r="AG20" i="14"/>
  <c r="AG19" i="14"/>
  <c r="AF16" i="19"/>
  <c r="AF17" i="19" s="1"/>
  <c r="AD16" i="19"/>
  <c r="AD17" i="19" s="1"/>
  <c r="AB16" i="19"/>
  <c r="AB17" i="19" s="1"/>
  <c r="AA16" i="19"/>
  <c r="AA17" i="19" s="1"/>
  <c r="Z16" i="19"/>
  <c r="Z17" i="19" s="1"/>
  <c r="Y16" i="19"/>
  <c r="Y17" i="19" s="1"/>
  <c r="X16" i="19"/>
  <c r="X17" i="19" s="1"/>
  <c r="W16" i="19"/>
  <c r="W17" i="19" s="1"/>
  <c r="V16" i="19"/>
  <c r="V17" i="19" s="1"/>
  <c r="T16" i="19"/>
  <c r="T17" i="19" s="1"/>
  <c r="S16" i="19"/>
  <c r="S17" i="19" s="1"/>
  <c r="R16" i="19"/>
  <c r="R17" i="19" s="1"/>
  <c r="Q16" i="19"/>
  <c r="Q17" i="19" s="1"/>
  <c r="P16" i="19"/>
  <c r="P17" i="19" s="1"/>
  <c r="O16" i="19"/>
  <c r="O17" i="19" s="1"/>
  <c r="N16" i="19"/>
  <c r="L16" i="19"/>
  <c r="L17" i="19" s="1"/>
  <c r="K16" i="19"/>
  <c r="K17" i="19" s="1"/>
  <c r="J16" i="19"/>
  <c r="J17" i="19" s="1"/>
  <c r="I16" i="19"/>
  <c r="I17" i="19" s="1"/>
  <c r="H16" i="19"/>
  <c r="H17" i="19" s="1"/>
  <c r="G16" i="19"/>
  <c r="G17" i="19" s="1"/>
  <c r="F16" i="19"/>
  <c r="D16" i="19"/>
  <c r="D17" i="19" s="1"/>
  <c r="C16" i="19"/>
  <c r="C17" i="19" s="1"/>
  <c r="B14" i="19"/>
  <c r="AE24" i="17"/>
  <c r="AD24" i="17"/>
  <c r="AB24" i="17"/>
  <c r="AA24" i="17"/>
  <c r="Z24" i="17"/>
  <c r="Y24" i="17"/>
  <c r="X24" i="17"/>
  <c r="W24" i="17"/>
  <c r="V24" i="17"/>
  <c r="T24" i="17"/>
  <c r="S24" i="17"/>
  <c r="R24" i="17"/>
  <c r="Q24" i="17"/>
  <c r="P24" i="17"/>
  <c r="O24" i="17"/>
  <c r="N24" i="17"/>
  <c r="L24" i="17"/>
  <c r="K24" i="17"/>
  <c r="J24" i="17"/>
  <c r="I24" i="17"/>
  <c r="H24" i="17"/>
  <c r="G24" i="17"/>
  <c r="F24" i="17"/>
  <c r="D24" i="17"/>
  <c r="C24" i="17"/>
  <c r="AE23" i="17"/>
  <c r="AD23" i="17"/>
  <c r="AB23" i="17"/>
  <c r="AA23" i="17"/>
  <c r="Z23" i="17"/>
  <c r="Y23" i="17"/>
  <c r="X23" i="17"/>
  <c r="W23" i="17"/>
  <c r="V23" i="17"/>
  <c r="T23" i="17"/>
  <c r="S23" i="17"/>
  <c r="R23" i="17"/>
  <c r="Q23" i="17"/>
  <c r="P23" i="17"/>
  <c r="O23" i="17"/>
  <c r="N23" i="17"/>
  <c r="L23" i="17"/>
  <c r="K23" i="17"/>
  <c r="J23" i="17"/>
  <c r="I23" i="17"/>
  <c r="H23" i="17"/>
  <c r="G23" i="17"/>
  <c r="F23" i="17"/>
  <c r="D23" i="17"/>
  <c r="C23" i="17"/>
  <c r="AE22" i="17"/>
  <c r="AD22" i="17"/>
  <c r="AB22" i="17"/>
  <c r="AA22" i="17"/>
  <c r="Z22" i="17"/>
  <c r="Y22" i="17"/>
  <c r="X22" i="17"/>
  <c r="W22" i="17"/>
  <c r="V22" i="17"/>
  <c r="T22" i="17"/>
  <c r="S22" i="17"/>
  <c r="R22" i="17"/>
  <c r="Q22" i="17"/>
  <c r="P22" i="17"/>
  <c r="O22" i="17"/>
  <c r="N22" i="17"/>
  <c r="L22" i="17"/>
  <c r="K22" i="17"/>
  <c r="J22" i="17"/>
  <c r="I22" i="17"/>
  <c r="H22" i="17"/>
  <c r="G22" i="17"/>
  <c r="F22" i="17"/>
  <c r="D22" i="17"/>
  <c r="C22" i="17"/>
  <c r="AE21" i="17"/>
  <c r="AD21" i="17"/>
  <c r="AB21" i="17"/>
  <c r="AA21" i="17"/>
  <c r="Z21" i="17"/>
  <c r="Y21" i="17"/>
  <c r="X21" i="17"/>
  <c r="W21" i="17"/>
  <c r="V21" i="17"/>
  <c r="T21" i="17"/>
  <c r="S21" i="17"/>
  <c r="R21" i="17"/>
  <c r="Q21" i="17"/>
  <c r="P21" i="17"/>
  <c r="O21" i="17"/>
  <c r="N21" i="17"/>
  <c r="L21" i="17"/>
  <c r="K21" i="17"/>
  <c r="J21" i="17"/>
  <c r="I21" i="17"/>
  <c r="H21" i="17"/>
  <c r="G21" i="17"/>
  <c r="F21" i="17"/>
  <c r="D21" i="17"/>
  <c r="C21" i="17"/>
  <c r="AE20" i="17"/>
  <c r="AD20" i="17"/>
  <c r="AB20" i="17"/>
  <c r="AA20" i="17"/>
  <c r="Z20" i="17"/>
  <c r="Y20" i="17"/>
  <c r="X20" i="17"/>
  <c r="W20" i="17"/>
  <c r="V20" i="17"/>
  <c r="T20" i="17"/>
  <c r="S20" i="17"/>
  <c r="R20" i="17"/>
  <c r="Q20" i="17"/>
  <c r="P20" i="17"/>
  <c r="O20" i="17"/>
  <c r="N20" i="17"/>
  <c r="L20" i="17"/>
  <c r="K20" i="17"/>
  <c r="J20" i="17"/>
  <c r="I20" i="17"/>
  <c r="H20" i="17"/>
  <c r="G20" i="17"/>
  <c r="F20" i="17"/>
  <c r="D20" i="17"/>
  <c r="C20" i="17"/>
  <c r="B18" i="17"/>
  <c r="AN19" i="11"/>
  <c r="AF18" i="11"/>
  <c r="AE18" i="11"/>
  <c r="AD18" i="11"/>
  <c r="AB18" i="11"/>
  <c r="AA18" i="11"/>
  <c r="Z18" i="11"/>
  <c r="Y18" i="11"/>
  <c r="X18" i="11"/>
  <c r="W18" i="11"/>
  <c r="V18" i="11"/>
  <c r="T18" i="11"/>
  <c r="S18" i="11"/>
  <c r="R18" i="11"/>
  <c r="Q18" i="11"/>
  <c r="P18" i="11"/>
  <c r="O18" i="11"/>
  <c r="N18" i="11"/>
  <c r="L18" i="11"/>
  <c r="K18" i="11"/>
  <c r="J18" i="11"/>
  <c r="I18" i="11"/>
  <c r="H18" i="11"/>
  <c r="G18" i="11"/>
  <c r="F18" i="11"/>
  <c r="D18" i="11"/>
  <c r="C18" i="11"/>
  <c r="E18" i="11" s="1"/>
  <c r="AF17" i="11"/>
  <c r="AE17" i="11"/>
  <c r="AD17" i="11"/>
  <c r="AB17" i="11"/>
  <c r="AA17" i="11"/>
  <c r="Z17" i="11"/>
  <c r="Y17" i="11"/>
  <c r="X17" i="11"/>
  <c r="W17" i="11"/>
  <c r="V17" i="11"/>
  <c r="T17" i="11"/>
  <c r="S17" i="11"/>
  <c r="R17" i="11"/>
  <c r="Q17" i="11"/>
  <c r="P17" i="11"/>
  <c r="O17" i="11"/>
  <c r="N17" i="11"/>
  <c r="L17" i="11"/>
  <c r="K17" i="11"/>
  <c r="J17" i="11"/>
  <c r="I17" i="11"/>
  <c r="H17" i="11"/>
  <c r="G17" i="11"/>
  <c r="F17" i="11"/>
  <c r="D17" i="11"/>
  <c r="C17" i="11"/>
  <c r="B15" i="11"/>
  <c r="AN23" i="14"/>
  <c r="AL22" i="14"/>
  <c r="AF22" i="14"/>
  <c r="AE22" i="14"/>
  <c r="AD22" i="14"/>
  <c r="AB22" i="14"/>
  <c r="AA22" i="14"/>
  <c r="Z22" i="14"/>
  <c r="Y22" i="14"/>
  <c r="X22" i="14"/>
  <c r="W22" i="14"/>
  <c r="V22" i="14"/>
  <c r="T22" i="14"/>
  <c r="S22" i="14"/>
  <c r="R22" i="14"/>
  <c r="Q22" i="14"/>
  <c r="P22" i="14"/>
  <c r="O22" i="14"/>
  <c r="N22" i="14"/>
  <c r="L22" i="14"/>
  <c r="K22" i="14"/>
  <c r="J22" i="14"/>
  <c r="I22" i="14"/>
  <c r="H22" i="14"/>
  <c r="G22" i="14"/>
  <c r="F22" i="14"/>
  <c r="D22" i="14"/>
  <c r="C22" i="14"/>
  <c r="AL21" i="14"/>
  <c r="AF21" i="14"/>
  <c r="AE21" i="14"/>
  <c r="AD21" i="14"/>
  <c r="AB21" i="14"/>
  <c r="AA21" i="14"/>
  <c r="Z21" i="14"/>
  <c r="Y21" i="14"/>
  <c r="X21" i="14"/>
  <c r="W21" i="14"/>
  <c r="V21" i="14"/>
  <c r="T21" i="14"/>
  <c r="S21" i="14"/>
  <c r="R21" i="14"/>
  <c r="Q21" i="14"/>
  <c r="P21" i="14"/>
  <c r="O21" i="14"/>
  <c r="N21" i="14"/>
  <c r="L21" i="14"/>
  <c r="K21" i="14"/>
  <c r="J21" i="14"/>
  <c r="I21" i="14"/>
  <c r="H21" i="14"/>
  <c r="G21" i="14"/>
  <c r="F21" i="14"/>
  <c r="D21" i="14"/>
  <c r="C21" i="14"/>
  <c r="AL20" i="14"/>
  <c r="AF20" i="14"/>
  <c r="AE20" i="14"/>
  <c r="AD20" i="14"/>
  <c r="AB20" i="14"/>
  <c r="AA20" i="14"/>
  <c r="Z20" i="14"/>
  <c r="Y20" i="14"/>
  <c r="X20" i="14"/>
  <c r="W20" i="14"/>
  <c r="V20" i="14"/>
  <c r="T20" i="14"/>
  <c r="S20" i="14"/>
  <c r="R20" i="14"/>
  <c r="Q20" i="14"/>
  <c r="P20" i="14"/>
  <c r="O20" i="14"/>
  <c r="N20" i="14"/>
  <c r="L20" i="14"/>
  <c r="K20" i="14"/>
  <c r="J20" i="14"/>
  <c r="I20" i="14"/>
  <c r="H20" i="14"/>
  <c r="G20" i="14"/>
  <c r="F20" i="14"/>
  <c r="D20" i="14"/>
  <c r="C20" i="14"/>
  <c r="AL19" i="14"/>
  <c r="AF19" i="14"/>
  <c r="AE19" i="14"/>
  <c r="AD19" i="14"/>
  <c r="AB19" i="14"/>
  <c r="AA19" i="14"/>
  <c r="Z19" i="14"/>
  <c r="Y19" i="14"/>
  <c r="X19" i="14"/>
  <c r="W19" i="14"/>
  <c r="V19" i="14"/>
  <c r="T19" i="14"/>
  <c r="S19" i="14"/>
  <c r="R19" i="14"/>
  <c r="Q19" i="14"/>
  <c r="P19" i="14"/>
  <c r="O19" i="14"/>
  <c r="N19" i="14"/>
  <c r="L19" i="14"/>
  <c r="K19" i="14"/>
  <c r="J19" i="14"/>
  <c r="I19" i="14"/>
  <c r="H19" i="14"/>
  <c r="G19" i="14"/>
  <c r="F19" i="14"/>
  <c r="D19" i="14"/>
  <c r="C19" i="14"/>
  <c r="B17" i="14"/>
  <c r="AN23" i="15"/>
  <c r="AL22" i="15"/>
  <c r="AJ22" i="15"/>
  <c r="AI22" i="15"/>
  <c r="AD22" i="15"/>
  <c r="AB22" i="15"/>
  <c r="AA22" i="15"/>
  <c r="Z22" i="15"/>
  <c r="Y22" i="15"/>
  <c r="X22" i="15"/>
  <c r="W22" i="15"/>
  <c r="V22" i="15"/>
  <c r="T22" i="15"/>
  <c r="S22" i="15"/>
  <c r="R22" i="15"/>
  <c r="Q22" i="15"/>
  <c r="P22" i="15"/>
  <c r="O22" i="15"/>
  <c r="N22" i="15"/>
  <c r="L22" i="15"/>
  <c r="K22" i="15"/>
  <c r="J22" i="15"/>
  <c r="I22" i="15"/>
  <c r="H22" i="15"/>
  <c r="G22" i="15"/>
  <c r="F22" i="15"/>
  <c r="D22" i="15"/>
  <c r="C22" i="15"/>
  <c r="AL21" i="15"/>
  <c r="AJ21" i="15"/>
  <c r="AI21" i="15"/>
  <c r="AD21" i="15"/>
  <c r="AB21" i="15"/>
  <c r="AA21" i="15"/>
  <c r="Z21" i="15"/>
  <c r="Y21" i="15"/>
  <c r="X21" i="15"/>
  <c r="W21" i="15"/>
  <c r="V21" i="15"/>
  <c r="T21" i="15"/>
  <c r="S21" i="15"/>
  <c r="R21" i="15"/>
  <c r="Q21" i="15"/>
  <c r="P21" i="15"/>
  <c r="O21" i="15"/>
  <c r="N21" i="15"/>
  <c r="L21" i="15"/>
  <c r="K21" i="15"/>
  <c r="J21" i="15"/>
  <c r="I21" i="15"/>
  <c r="H21" i="15"/>
  <c r="G21" i="15"/>
  <c r="F21" i="15"/>
  <c r="D21" i="15"/>
  <c r="C21" i="15"/>
  <c r="AL20" i="15"/>
  <c r="AJ20" i="15"/>
  <c r="AI20" i="15"/>
  <c r="AD20" i="15"/>
  <c r="AB20" i="15"/>
  <c r="AA20" i="15"/>
  <c r="Z20" i="15"/>
  <c r="Y20" i="15"/>
  <c r="X20" i="15"/>
  <c r="W20" i="15"/>
  <c r="V20" i="15"/>
  <c r="T20" i="15"/>
  <c r="S20" i="15"/>
  <c r="R20" i="15"/>
  <c r="Q20" i="15"/>
  <c r="P20" i="15"/>
  <c r="O20" i="15"/>
  <c r="N20" i="15"/>
  <c r="L20" i="15"/>
  <c r="K20" i="15"/>
  <c r="J20" i="15"/>
  <c r="I20" i="15"/>
  <c r="H20" i="15"/>
  <c r="G20" i="15"/>
  <c r="F20" i="15"/>
  <c r="D20" i="15"/>
  <c r="C20" i="15"/>
  <c r="AL19" i="15"/>
  <c r="AJ19" i="15"/>
  <c r="AI19" i="15"/>
  <c r="AD19" i="15"/>
  <c r="AB19" i="15"/>
  <c r="AA19" i="15"/>
  <c r="Z19" i="15"/>
  <c r="Y19" i="15"/>
  <c r="X19" i="15"/>
  <c r="W19" i="15"/>
  <c r="V19" i="15"/>
  <c r="T19" i="15"/>
  <c r="S19" i="15"/>
  <c r="R19" i="15"/>
  <c r="Q19" i="15"/>
  <c r="P19" i="15"/>
  <c r="O19" i="15"/>
  <c r="N19" i="15"/>
  <c r="L19" i="15"/>
  <c r="K19" i="15"/>
  <c r="J19" i="15"/>
  <c r="I19" i="15"/>
  <c r="H19" i="15"/>
  <c r="G19" i="15"/>
  <c r="F19" i="15"/>
  <c r="D19" i="15"/>
  <c r="C19" i="15"/>
  <c r="B17" i="15"/>
  <c r="M17" i="11" l="1"/>
  <c r="AI19" i="11"/>
  <c r="AJ19" i="11"/>
  <c r="U18" i="11"/>
  <c r="M18" i="11"/>
  <c r="AK17" i="11"/>
  <c r="AM17" i="11"/>
  <c r="AL19" i="11"/>
  <c r="U17" i="11"/>
  <c r="AK18" i="11"/>
  <c r="AK24" i="17"/>
  <c r="AK21" i="17"/>
  <c r="AK23" i="17"/>
  <c r="AK22" i="17"/>
  <c r="U20" i="17"/>
  <c r="AC21" i="17"/>
  <c r="AC22" i="17"/>
  <c r="AC23" i="17"/>
  <c r="AC20" i="17"/>
  <c r="AK20" i="17"/>
  <c r="AC24" i="17"/>
  <c r="M19" i="14"/>
  <c r="AD25" i="17"/>
  <c r="T25" i="17"/>
  <c r="W25" i="17"/>
  <c r="G25" i="17"/>
  <c r="N25" i="17"/>
  <c r="I25" i="17"/>
  <c r="AA25" i="17"/>
  <c r="D25" i="17"/>
  <c r="AF19" i="11"/>
  <c r="AA19" i="11"/>
  <c r="AG19" i="11"/>
  <c r="R19" i="11"/>
  <c r="Q19" i="11"/>
  <c r="P19" i="11"/>
  <c r="O19" i="11"/>
  <c r="T19" i="11"/>
  <c r="AD19" i="11"/>
  <c r="AC17" i="11"/>
  <c r="AE19" i="11"/>
  <c r="J19" i="11"/>
  <c r="S19" i="11"/>
  <c r="AB19" i="11"/>
  <c r="Z19" i="11"/>
  <c r="U16" i="19"/>
  <c r="M16" i="19"/>
  <c r="AK16" i="19"/>
  <c r="AH17" i="19"/>
  <c r="AK17" i="19" s="1"/>
  <c r="P23" i="14"/>
  <c r="Y23" i="14"/>
  <c r="Q23" i="14"/>
  <c r="Z23" i="14"/>
  <c r="H23" i="14"/>
  <c r="U22" i="14"/>
  <c r="R23" i="14"/>
  <c r="I23" i="14"/>
  <c r="K23" i="14"/>
  <c r="T23" i="14"/>
  <c r="AD23" i="14"/>
  <c r="E22" i="14"/>
  <c r="AA23" i="14"/>
  <c r="J25" i="17"/>
  <c r="S25" i="17"/>
  <c r="P25" i="17"/>
  <c r="AB25" i="17"/>
  <c r="M19" i="15"/>
  <c r="AL23" i="15"/>
  <c r="M22" i="14"/>
  <c r="AG23" i="14"/>
  <c r="J23" i="14"/>
  <c r="S23" i="14"/>
  <c r="AB23" i="14"/>
  <c r="AC20" i="14"/>
  <c r="C23" i="14"/>
  <c r="L23" i="14"/>
  <c r="V23" i="14"/>
  <c r="U20" i="14"/>
  <c r="D23" i="14"/>
  <c r="N23" i="14"/>
  <c r="AF23" i="14"/>
  <c r="M20" i="14"/>
  <c r="F23" i="14"/>
  <c r="O23" i="14"/>
  <c r="X23" i="14"/>
  <c r="AL23" i="14"/>
  <c r="E20" i="14"/>
  <c r="AE23" i="14"/>
  <c r="AC21" i="14"/>
  <c r="AC16" i="19"/>
  <c r="AC17" i="19"/>
  <c r="F17" i="19"/>
  <c r="M17" i="19" s="1"/>
  <c r="N17" i="19"/>
  <c r="U17" i="19" s="1"/>
  <c r="E17" i="19"/>
  <c r="E16" i="19"/>
  <c r="AL17" i="19"/>
  <c r="AM17" i="19" s="1"/>
  <c r="AE25" i="17"/>
  <c r="L25" i="17"/>
  <c r="C25" i="17"/>
  <c r="F25" i="17"/>
  <c r="O25" i="17"/>
  <c r="X25" i="17"/>
  <c r="V25" i="17"/>
  <c r="H25" i="17"/>
  <c r="Y25" i="17"/>
  <c r="U23" i="17"/>
  <c r="U21" i="17"/>
  <c r="Q25" i="17"/>
  <c r="E23" i="17"/>
  <c r="E21" i="17"/>
  <c r="E24" i="17"/>
  <c r="M23" i="17"/>
  <c r="M21" i="17"/>
  <c r="Z25" i="17"/>
  <c r="U24" i="17"/>
  <c r="U22" i="17"/>
  <c r="R25" i="17"/>
  <c r="K25" i="17"/>
  <c r="M24" i="17"/>
  <c r="M22" i="17"/>
  <c r="E22" i="17"/>
  <c r="E20" i="17"/>
  <c r="M20" i="17"/>
  <c r="I19" i="11"/>
  <c r="L19" i="11"/>
  <c r="K19" i="11"/>
  <c r="X19" i="11"/>
  <c r="AC18" i="11"/>
  <c r="W19" i="11"/>
  <c r="Y19" i="11"/>
  <c r="G19" i="11"/>
  <c r="H19" i="11"/>
  <c r="D19" i="11"/>
  <c r="C19" i="11"/>
  <c r="E17" i="11"/>
  <c r="F19" i="11"/>
  <c r="N19" i="11"/>
  <c r="V19" i="11"/>
  <c r="W23" i="14"/>
  <c r="U21" i="14"/>
  <c r="AC22" i="14"/>
  <c r="M21" i="14"/>
  <c r="G23" i="14"/>
  <c r="E21" i="14"/>
  <c r="E19" i="14"/>
  <c r="U19" i="14"/>
  <c r="AC19" i="14"/>
  <c r="AC22" i="15"/>
  <c r="U22" i="15"/>
  <c r="M22" i="15"/>
  <c r="E22" i="15"/>
  <c r="Z23" i="15"/>
  <c r="V23" i="15"/>
  <c r="AC21" i="15"/>
  <c r="Q23" i="15"/>
  <c r="U21" i="15"/>
  <c r="H23" i="15"/>
  <c r="M21" i="15"/>
  <c r="C23" i="15"/>
  <c r="E21" i="15"/>
  <c r="AJ23" i="15"/>
  <c r="AA23" i="15"/>
  <c r="Y23" i="15"/>
  <c r="X23" i="15"/>
  <c r="AC20" i="15"/>
  <c r="W23" i="15"/>
  <c r="S23" i="15"/>
  <c r="R23" i="15"/>
  <c r="P23" i="15"/>
  <c r="U20" i="15"/>
  <c r="O23" i="15"/>
  <c r="N23" i="15"/>
  <c r="K23" i="15"/>
  <c r="J23" i="15"/>
  <c r="I23" i="15"/>
  <c r="G23" i="15"/>
  <c r="M20" i="15"/>
  <c r="F23" i="15"/>
  <c r="E20" i="15"/>
  <c r="AC19" i="15"/>
  <c r="U19" i="15"/>
  <c r="E19" i="15"/>
  <c r="D23" i="15"/>
  <c r="L23" i="15"/>
  <c r="T23" i="15"/>
  <c r="AB23" i="15"/>
  <c r="AD23" i="15"/>
  <c r="AO19" i="14" l="1"/>
  <c r="AO20" i="14"/>
  <c r="AO23" i="14"/>
  <c r="AO20" i="15"/>
  <c r="AO19" i="15"/>
  <c r="AO18" i="11"/>
  <c r="AO17" i="11"/>
  <c r="AK19" i="11"/>
  <c r="AO16" i="19"/>
  <c r="AO17" i="19" s="1"/>
  <c r="AO21" i="17"/>
  <c r="AO23" i="17"/>
  <c r="AO20" i="17"/>
  <c r="AO22" i="17"/>
  <c r="AO24" i="17"/>
  <c r="AK25" i="17"/>
  <c r="U25" i="17"/>
  <c r="AM19" i="11"/>
  <c r="AC19" i="11"/>
  <c r="U19" i="11"/>
  <c r="U23" i="14"/>
  <c r="M25" i="17"/>
  <c r="E25" i="17"/>
  <c r="E23" i="14"/>
  <c r="AC23" i="14"/>
  <c r="AM23" i="14" s="1"/>
  <c r="M23" i="14"/>
  <c r="AC25" i="17"/>
  <c r="M19" i="11"/>
  <c r="E19" i="11"/>
  <c r="M23" i="15"/>
  <c r="AM23" i="15"/>
  <c r="U23" i="15"/>
  <c r="E23" i="15"/>
  <c r="AO19" i="11" l="1"/>
  <c r="AO25" i="17"/>
  <c r="AO23" i="15"/>
</calcChain>
</file>

<file path=xl/sharedStrings.xml><?xml version="1.0" encoding="utf-8"?>
<sst xmlns="http://schemas.openxmlformats.org/spreadsheetml/2006/main" count="1128" uniqueCount="76">
  <si>
    <t>GTH-FT-038</t>
  </si>
  <si>
    <t>Fecha:  25-06-2018</t>
  </si>
  <si>
    <t>Versión:  02</t>
  </si>
  <si>
    <t>Página 1 de 1</t>
  </si>
  <si>
    <t>UNIDAD FUNCIONAL:</t>
  </si>
  <si>
    <t>INSTITUTO DE SALUD BUCARAMANGA - ISABU</t>
  </si>
  <si>
    <t>SERVICIO:</t>
  </si>
  <si>
    <t xml:space="preserve">URGENCIAS ADMISIONES HOSPITAL LOCAL DEL NORTE </t>
  </si>
  <si>
    <t xml:space="preserve">PERIODO: </t>
  </si>
  <si>
    <t>DIA</t>
  </si>
  <si>
    <t>NOMBRE</t>
  </si>
  <si>
    <t>H</t>
  </si>
  <si>
    <t>CAP</t>
  </si>
  <si>
    <t>FIRMA</t>
  </si>
  <si>
    <t>M</t>
  </si>
  <si>
    <t>J</t>
  </si>
  <si>
    <t>V</t>
  </si>
  <si>
    <t>S</t>
  </si>
  <si>
    <t>D</t>
  </si>
  <si>
    <t>L</t>
  </si>
  <si>
    <t>N</t>
  </si>
  <si>
    <t>DELCY LUNA GOMEZ</t>
  </si>
  <si>
    <t>J1</t>
  </si>
  <si>
    <t xml:space="preserve">LILIBETH SANGUINO </t>
  </si>
  <si>
    <t>TOTAL HORAS</t>
  </si>
  <si>
    <t>TOTAL HORAS DIA</t>
  </si>
  <si>
    <t>NO SE PERMITE CAMBIO DE TURNO SIN PREVIA AUTORIZACION DEL COORDINADOR</t>
  </si>
  <si>
    <t xml:space="preserve">CONVENCIONES </t>
  </si>
  <si>
    <t xml:space="preserve">TURNO </t>
  </si>
  <si>
    <t xml:space="preserve">INICIO </t>
  </si>
  <si>
    <t xml:space="preserve">FIN </t>
  </si>
  <si>
    <t>INICIO</t>
  </si>
  <si>
    <t>FIN</t>
  </si>
  <si>
    <t>Dia</t>
  </si>
  <si>
    <t>Noche</t>
  </si>
  <si>
    <t xml:space="preserve">Mañana </t>
  </si>
  <si>
    <t>Jornada 1</t>
  </si>
  <si>
    <t>Libre</t>
  </si>
  <si>
    <t>Capacitacion</t>
  </si>
  <si>
    <t>ELABORÓ:ADRIANA YEPEZ</t>
  </si>
  <si>
    <t>REVISÓ:YERLIT LILIANA LOPEZ MURILLO</t>
  </si>
  <si>
    <t>APROBÓ : GUSTAVO ADOLFO TABORDA</t>
  </si>
  <si>
    <t>TecnIco Coordinador  de Facturación</t>
  </si>
  <si>
    <t>Director  Facturacion</t>
  </si>
  <si>
    <t>Dirección de Operaciones y Estrategias de Operación</t>
  </si>
  <si>
    <t xml:space="preserve">URGENCIAS LIQUIDACION HOSPITAL LOCAL DEL NORTE </t>
  </si>
  <si>
    <t>IVON ANDREA RODRIGUEZ</t>
  </si>
  <si>
    <t>STHEFANY GONZALEZ</t>
  </si>
  <si>
    <t>SILVIA CADAVID</t>
  </si>
  <si>
    <t xml:space="preserve">AUTORIZACION HOSPITAL LOCAL DEL NORTE </t>
  </si>
  <si>
    <t>KATHERINE QUIROGA</t>
  </si>
  <si>
    <t>J2</t>
  </si>
  <si>
    <t>T</t>
  </si>
  <si>
    <t>Tarde</t>
  </si>
  <si>
    <t>Jornada 2</t>
  </si>
  <si>
    <t>TecnICA Coordinadora  de Facturación</t>
  </si>
  <si>
    <t xml:space="preserve">HOSPITALIZACION HOSPITAL LOCAL DEL NORTE </t>
  </si>
  <si>
    <t>LUISA TIRIA</t>
  </si>
  <si>
    <t xml:space="preserve">MARLEN PARRA </t>
  </si>
  <si>
    <t>NERLY ARIAS</t>
  </si>
  <si>
    <t>ADRIANA AYALA TORRES</t>
  </si>
  <si>
    <t>LUN A JUE</t>
  </si>
  <si>
    <t>JUE-VIE</t>
  </si>
  <si>
    <t>SAB</t>
  </si>
  <si>
    <t>Tecnologa de Facturación</t>
  </si>
  <si>
    <t>KAROL ESCANTE</t>
  </si>
  <si>
    <t>JUAN PABLO MILLAN</t>
  </si>
  <si>
    <t>ANGIE SIERRA</t>
  </si>
  <si>
    <t>VACANTE</t>
  </si>
  <si>
    <t>1 DE AGOSTO AL 31 AGOSTO DEL 2026</t>
  </si>
  <si>
    <t>CUADRO DE TURNOS</t>
  </si>
  <si>
    <t>HARLY KATHERINE</t>
  </si>
  <si>
    <t>DANIELA CASANOVA</t>
  </si>
  <si>
    <t>VIERNES</t>
  </si>
  <si>
    <t>JUEVE- VIERNES</t>
  </si>
  <si>
    <t>LUN A MIER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</si>
</sst>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;[Red]0"/>
  </numFmts>
  <fonts count="17">
    <font>
      <sz val="11"/>
      <color theme="1"/>
      <name val="Arial"/>
      <charset val="134"/>
    </font>
    <font>
      <sz val="12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b/>
      <sz val="18"/>
      <name val="Calibri"/>
      <family val="2"/>
    </font>
    <font>
      <b/>
      <sz val="14"/>
      <color theme="1"/>
      <name val="Arial Narrow"/>
      <family val="2"/>
    </font>
    <font>
      <sz val="12"/>
      <color rgb="FF000000"/>
      <name val="Calibri"/>
      <family val="2"/>
    </font>
    <font>
      <b/>
      <sz val="12"/>
      <name val="Calibri"/>
      <family val="2"/>
    </font>
    <font>
      <b/>
      <sz val="12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2"/>
      <name val="Arial"/>
      <family val="2"/>
    </font>
    <font>
      <b/>
      <sz val="10"/>
      <color theme="1"/>
      <name val="Calibri"/>
      <family val="2"/>
    </font>
    <font>
      <b/>
      <sz val="12"/>
      <color rgb="FFFF0000"/>
      <name val="Calibri"/>
      <family val="2"/>
    </font>
    <font>
      <sz val="11"/>
      <color theme="1"/>
      <name val="Aptos Narrow"/>
      <family val="2"/>
      <scheme val="minor"/>
    </font>
    <font>
      <sz val="11"/>
      <color theme="1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theme="2"/>
        <bgColor rgb="FFBFBFBF"/>
      </patternFill>
    </fill>
    <fill>
      <patternFill patternType="solid">
        <fgColor theme="0"/>
        <bgColor theme="0"/>
      </patternFill>
    </fill>
    <fill>
      <patternFill patternType="solid">
        <fgColor theme="0" tint="-0.249977111117893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/>
        <bgColor theme="0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theme="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BFBFBF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theme="0"/>
      </patternFill>
    </fill>
  </fills>
  <borders count="5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medium">
        <color auto="1"/>
      </left>
      <right/>
      <top style="medium">
        <color auto="1"/>
      </top>
      <bottom style="thin">
        <color rgb="FF000000"/>
      </bottom>
      <diagonal/>
    </border>
    <border>
      <left style="medium">
        <color auto="1"/>
      </left>
      <right/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thin">
        <color rgb="FF000000"/>
      </right>
      <top style="thin">
        <color rgb="FF000000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auto="1"/>
      </bottom>
      <diagonal/>
    </border>
    <border>
      <left/>
      <right/>
      <top style="thin">
        <color rgb="FF000000"/>
      </top>
      <bottom style="medium">
        <color auto="1"/>
      </bottom>
      <diagonal/>
    </border>
    <border>
      <left/>
      <right style="thin">
        <color rgb="FF000000"/>
      </right>
      <top style="thin">
        <color rgb="FF000000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rgb="FF000000"/>
      </bottom>
      <diagonal/>
    </border>
    <border>
      <left/>
      <right style="medium">
        <color auto="1"/>
      </right>
      <top style="thin">
        <color rgb="FF000000"/>
      </top>
      <bottom style="thin">
        <color rgb="FF000000"/>
      </bottom>
      <diagonal/>
    </border>
    <border>
      <left/>
      <right style="medium">
        <color auto="1"/>
      </right>
      <top style="thin">
        <color rgb="FF000000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rgb="FF000000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/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rgb="FF000000"/>
      </right>
      <top style="thin">
        <color auto="1"/>
      </top>
      <bottom/>
      <diagonal/>
    </border>
    <border>
      <left style="thin">
        <color rgb="FF000000"/>
      </left>
      <right/>
      <top style="thin">
        <color auto="1"/>
      </top>
      <bottom/>
      <diagonal/>
    </border>
    <border>
      <left/>
      <right style="thin">
        <color rgb="FF000000"/>
      </right>
      <top style="thin">
        <color auto="1"/>
      </top>
      <bottom/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medium">
        <color auto="1"/>
      </bottom>
      <diagonal/>
    </border>
  </borders>
  <cellStyleXfs count="5">
    <xf numFmtId="0" fontId="0" fillId="0" borderId="0"/>
    <xf numFmtId="0" fontId="16" fillId="0" borderId="0"/>
    <xf numFmtId="0" fontId="15" fillId="0" borderId="0"/>
    <xf numFmtId="0" fontId="16" fillId="0" borderId="0"/>
    <xf numFmtId="0" fontId="16" fillId="0" borderId="0"/>
  </cellStyleXfs>
  <cellXfs count="23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5" fillId="0" borderId="0" xfId="0" applyFont="1"/>
    <xf numFmtId="0" fontId="3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4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3" fillId="0" borderId="0" xfId="1" applyFont="1" applyAlignment="1">
      <alignment horizontal="left" vertical="center" wrapText="1"/>
    </xf>
    <xf numFmtId="0" fontId="7" fillId="0" borderId="8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164" fontId="3" fillId="0" borderId="2" xfId="0" applyNumberFormat="1" applyFont="1" applyBorder="1" applyAlignment="1">
      <alignment horizontal="center" vertical="center"/>
    </xf>
    <xf numFmtId="164" fontId="3" fillId="7" borderId="11" xfId="0" applyNumberFormat="1" applyFont="1" applyFill="1" applyBorder="1" applyAlignment="1">
      <alignment horizontal="center" vertical="center"/>
    </xf>
    <xf numFmtId="0" fontId="3" fillId="8" borderId="12" xfId="1" applyFont="1" applyFill="1" applyBorder="1" applyAlignment="1">
      <alignment horizontal="center" vertical="center" wrapText="1"/>
    </xf>
    <xf numFmtId="164" fontId="3" fillId="5" borderId="10" xfId="0" applyNumberFormat="1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9" fillId="0" borderId="0" xfId="0" applyFont="1" applyAlignment="1">
      <alignment vertical="center"/>
    </xf>
    <xf numFmtId="0" fontId="8" fillId="0" borderId="0" xfId="0" applyFont="1" applyAlignment="1">
      <alignment horizontal="center" vertical="center" wrapText="1"/>
    </xf>
    <xf numFmtId="0" fontId="7" fillId="0" borderId="13" xfId="3" applyFont="1" applyBorder="1" applyAlignment="1">
      <alignment horizontal="center" vertical="center" wrapText="1"/>
    </xf>
    <xf numFmtId="0" fontId="1" fillId="0" borderId="0" xfId="3" applyFont="1" applyAlignment="1">
      <alignment horizontal="center" vertical="center" wrapText="1"/>
    </xf>
    <xf numFmtId="0" fontId="3" fillId="9" borderId="2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10" borderId="18" xfId="1" applyFont="1" applyFill="1" applyBorder="1" applyAlignment="1">
      <alignment horizontal="center" vertical="center"/>
    </xf>
    <xf numFmtId="0" fontId="2" fillId="0" borderId="18" xfId="1" applyFont="1" applyBorder="1" applyAlignment="1">
      <alignment horizontal="center" vertical="center"/>
    </xf>
    <xf numFmtId="0" fontId="2" fillId="10" borderId="17" xfId="1" applyFont="1" applyFill="1" applyBorder="1" applyAlignment="1">
      <alignment horizontal="center" vertical="center"/>
    </xf>
    <xf numFmtId="0" fontId="2" fillId="0" borderId="17" xfId="1" applyFont="1" applyBorder="1" applyAlignment="1">
      <alignment horizontal="center" vertical="center"/>
    </xf>
    <xf numFmtId="0" fontId="10" fillId="0" borderId="19" xfId="1" applyFont="1" applyBorder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2" fillId="0" borderId="20" xfId="0" applyFont="1" applyBorder="1"/>
    <xf numFmtId="0" fontId="7" fillId="0" borderId="0" xfId="3" applyFont="1" applyAlignment="1">
      <alignment vertical="center"/>
    </xf>
    <xf numFmtId="0" fontId="1" fillId="0" borderId="0" xfId="3" applyFont="1" applyAlignment="1">
      <alignment horizontal="center"/>
    </xf>
    <xf numFmtId="20" fontId="6" fillId="0" borderId="23" xfId="4" applyNumberFormat="1" applyFont="1" applyBorder="1" applyAlignment="1">
      <alignment horizontal="center" vertical="center"/>
    </xf>
    <xf numFmtId="20" fontId="6" fillId="0" borderId="22" xfId="4" applyNumberFormat="1" applyFont="1" applyBorder="1" applyAlignment="1">
      <alignment horizontal="center" vertical="center"/>
    </xf>
    <xf numFmtId="20" fontId="6" fillId="0" borderId="11" xfId="4" applyNumberFormat="1" applyFont="1" applyBorder="1" applyAlignment="1">
      <alignment horizontal="center" vertical="center"/>
    </xf>
    <xf numFmtId="20" fontId="6" fillId="0" borderId="23" xfId="1" applyNumberFormat="1" applyFont="1" applyBorder="1" applyAlignment="1">
      <alignment horizontal="center" vertical="center"/>
    </xf>
    <xf numFmtId="20" fontId="6" fillId="0" borderId="11" xfId="1" applyNumberFormat="1" applyFont="1" applyBorder="1" applyAlignment="1">
      <alignment horizontal="center" vertical="center"/>
    </xf>
    <xf numFmtId="20" fontId="6" fillId="0" borderId="24" xfId="1" applyNumberFormat="1" applyFont="1" applyBorder="1" applyAlignment="1">
      <alignment horizontal="center" vertical="center"/>
    </xf>
    <xf numFmtId="0" fontId="12" fillId="0" borderId="25" xfId="1" applyFont="1" applyBorder="1"/>
    <xf numFmtId="0" fontId="12" fillId="0" borderId="26" xfId="1" applyFont="1" applyBorder="1"/>
    <xf numFmtId="20" fontId="2" fillId="0" borderId="0" xfId="0" applyNumberFormat="1" applyFont="1"/>
    <xf numFmtId="0" fontId="2" fillId="0" borderId="2" xfId="1" applyFont="1" applyBorder="1" applyAlignment="1">
      <alignment horizontal="center" vertical="center"/>
    </xf>
    <xf numFmtId="1" fontId="6" fillId="0" borderId="23" xfId="4" applyNumberFormat="1" applyFont="1" applyBorder="1" applyAlignment="1">
      <alignment vertical="center" wrapText="1"/>
    </xf>
    <xf numFmtId="0" fontId="12" fillId="0" borderId="22" xfId="4" applyFont="1" applyBorder="1" applyAlignment="1">
      <alignment wrapText="1"/>
    </xf>
    <xf numFmtId="0" fontId="12" fillId="0" borderId="28" xfId="4" applyFont="1" applyBorder="1" applyAlignment="1">
      <alignment wrapText="1"/>
    </xf>
    <xf numFmtId="164" fontId="6" fillId="0" borderId="23" xfId="4" applyNumberFormat="1" applyFont="1" applyBorder="1" applyAlignment="1">
      <alignment vertical="center" wrapText="1"/>
    </xf>
    <xf numFmtId="164" fontId="6" fillId="0" borderId="24" xfId="4" applyNumberFormat="1" applyFont="1" applyBorder="1" applyAlignment="1">
      <alignment vertical="center" wrapText="1"/>
    </xf>
    <xf numFmtId="0" fontId="12" fillId="0" borderId="25" xfId="4" applyFont="1" applyBorder="1" applyAlignment="1">
      <alignment wrapText="1"/>
    </xf>
    <xf numFmtId="0" fontId="12" fillId="0" borderId="29" xfId="4" applyFont="1" applyBorder="1" applyAlignment="1">
      <alignment wrapText="1"/>
    </xf>
    <xf numFmtId="0" fontId="7" fillId="0" borderId="0" xfId="3" applyFont="1" applyAlignment="1">
      <alignment horizontal="center" vertical="center"/>
    </xf>
    <xf numFmtId="0" fontId="1" fillId="0" borderId="0" xfId="3" applyFont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11" borderId="0" xfId="0" applyFont="1" applyFill="1" applyAlignment="1">
      <alignment vertical="center" wrapText="1"/>
    </xf>
    <xf numFmtId="0" fontId="8" fillId="3" borderId="0" xfId="0" applyFont="1" applyFill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7" fillId="0" borderId="34" xfId="1" applyFont="1" applyBorder="1" applyAlignment="1">
      <alignment horizontal="left" vertical="center" wrapText="1"/>
    </xf>
    <xf numFmtId="0" fontId="3" fillId="0" borderId="2" xfId="1" applyFont="1" applyBorder="1" applyAlignment="1">
      <alignment horizontal="left" vertical="center" wrapText="1"/>
    </xf>
    <xf numFmtId="0" fontId="7" fillId="0" borderId="35" xfId="1" applyFont="1" applyBorder="1" applyAlignment="1">
      <alignment horizontal="left" vertical="center" wrapText="1"/>
    </xf>
    <xf numFmtId="0" fontId="3" fillId="0" borderId="10" xfId="1" applyFont="1" applyBorder="1" applyAlignment="1">
      <alignment horizontal="left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164" fontId="3" fillId="0" borderId="11" xfId="0" applyNumberFormat="1" applyFont="1" applyBorder="1" applyAlignment="1">
      <alignment horizontal="center" vertical="center"/>
    </xf>
    <xf numFmtId="164" fontId="3" fillId="8" borderId="11" xfId="0" applyNumberFormat="1" applyFont="1" applyFill="1" applyBorder="1" applyAlignment="1">
      <alignment horizontal="center" vertical="center"/>
    </xf>
    <xf numFmtId="164" fontId="3" fillId="8" borderId="10" xfId="0" applyNumberFormat="1" applyFont="1" applyFill="1" applyBorder="1" applyAlignment="1">
      <alignment horizontal="center" vertical="center"/>
    </xf>
    <xf numFmtId="0" fontId="8" fillId="0" borderId="41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12" fillId="0" borderId="22" xfId="4" applyFont="1" applyBorder="1"/>
    <xf numFmtId="0" fontId="12" fillId="0" borderId="11" xfId="4" applyFont="1" applyBorder="1"/>
    <xf numFmtId="0" fontId="3" fillId="12" borderId="8" xfId="0" applyFont="1" applyFill="1" applyBorder="1" applyAlignment="1">
      <alignment horizontal="center" vertical="center"/>
    </xf>
    <xf numFmtId="0" fontId="7" fillId="0" borderId="23" xfId="0" applyFont="1" applyBorder="1" applyAlignment="1">
      <alignment horizontal="center" vertical="center" wrapText="1"/>
    </xf>
    <xf numFmtId="164" fontId="3" fillId="8" borderId="22" xfId="0" applyNumberFormat="1" applyFont="1" applyFill="1" applyBorder="1" applyAlignment="1">
      <alignment horizontal="center" vertical="center"/>
    </xf>
    <xf numFmtId="164" fontId="3" fillId="8" borderId="23" xfId="0" applyNumberFormat="1" applyFont="1" applyFill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164" fontId="3" fillId="8" borderId="2" xfId="0" applyNumberFormat="1" applyFont="1" applyFill="1" applyBorder="1" applyAlignment="1">
      <alignment horizontal="center" vertical="center"/>
    </xf>
    <xf numFmtId="164" fontId="3" fillId="5" borderId="2" xfId="0" applyNumberFormat="1" applyFont="1" applyFill="1" applyBorder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0" fontId="7" fillId="3" borderId="8" xfId="0" applyFont="1" applyFill="1" applyBorder="1" applyAlignment="1">
      <alignment horizontal="center" vertical="center"/>
    </xf>
    <xf numFmtId="0" fontId="7" fillId="3" borderId="23" xfId="0" applyFont="1" applyFill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164" fontId="3" fillId="5" borderId="11" xfId="0" applyNumberFormat="1" applyFont="1" applyFill="1" applyBorder="1" applyAlignment="1">
      <alignment horizontal="center" vertical="center"/>
    </xf>
    <xf numFmtId="0" fontId="1" fillId="0" borderId="0" xfId="3" applyFont="1" applyAlignment="1">
      <alignment vertical="center"/>
    </xf>
    <xf numFmtId="0" fontId="7" fillId="13" borderId="8" xfId="0" applyFont="1" applyFill="1" applyBorder="1" applyAlignment="1">
      <alignment horizontal="center" vertical="center"/>
    </xf>
    <xf numFmtId="0" fontId="3" fillId="13" borderId="8" xfId="0" applyFont="1" applyFill="1" applyBorder="1" applyAlignment="1">
      <alignment horizontal="center" vertical="center"/>
    </xf>
    <xf numFmtId="0" fontId="7" fillId="7" borderId="8" xfId="0" applyFont="1" applyFill="1" applyBorder="1" applyAlignment="1">
      <alignment horizontal="center" vertical="center"/>
    </xf>
    <xf numFmtId="0" fontId="7" fillId="10" borderId="8" xfId="0" applyFont="1" applyFill="1" applyBorder="1" applyAlignment="1">
      <alignment horizontal="center" vertical="center"/>
    </xf>
    <xf numFmtId="164" fontId="3" fillId="7" borderId="2" xfId="0" applyNumberFormat="1" applyFont="1" applyFill="1" applyBorder="1" applyAlignment="1">
      <alignment horizontal="center" vertical="center"/>
    </xf>
    <xf numFmtId="0" fontId="10" fillId="0" borderId="2" xfId="1" applyFont="1" applyBorder="1" applyAlignment="1">
      <alignment horizontal="center" vertical="center"/>
    </xf>
    <xf numFmtId="0" fontId="3" fillId="3" borderId="23" xfId="0" applyFont="1" applyFill="1" applyBorder="1" applyAlignment="1">
      <alignment horizontal="center" vertical="center"/>
    </xf>
    <xf numFmtId="0" fontId="3" fillId="0" borderId="0" xfId="0" applyFont="1" applyAlignment="1">
      <alignment vertical="center" wrapText="1"/>
    </xf>
    <xf numFmtId="164" fontId="2" fillId="0" borderId="0" xfId="0" applyNumberFormat="1" applyFont="1"/>
    <xf numFmtId="164" fontId="3" fillId="7" borderId="10" xfId="0" applyNumberFormat="1" applyFont="1" applyFill="1" applyBorder="1" applyAlignment="1">
      <alignment horizontal="center" vertical="center"/>
    </xf>
    <xf numFmtId="0" fontId="1" fillId="0" borderId="0" xfId="3" applyFont="1"/>
    <xf numFmtId="0" fontId="2" fillId="0" borderId="49" xfId="1" applyFont="1" applyBorder="1" applyAlignment="1">
      <alignment horizontal="center" vertical="center"/>
    </xf>
    <xf numFmtId="0" fontId="2" fillId="0" borderId="50" xfId="1" applyFont="1" applyBorder="1" applyAlignment="1">
      <alignment horizontal="center" vertical="center"/>
    </xf>
    <xf numFmtId="0" fontId="2" fillId="0" borderId="51" xfId="1" applyFont="1" applyBorder="1" applyAlignment="1">
      <alignment horizontal="center" vertical="center"/>
    </xf>
    <xf numFmtId="0" fontId="10" fillId="0" borderId="52" xfId="1" applyFont="1" applyBorder="1" applyAlignment="1">
      <alignment horizontal="center" vertical="center"/>
    </xf>
    <xf numFmtId="0" fontId="7" fillId="0" borderId="2" xfId="1" applyFont="1" applyBorder="1" applyAlignment="1">
      <alignment horizontal="left" vertical="center" wrapText="1"/>
    </xf>
    <xf numFmtId="49" fontId="5" fillId="0" borderId="0" xfId="0" applyNumberFormat="1" applyFont="1"/>
    <xf numFmtId="0" fontId="3" fillId="14" borderId="2" xfId="0" applyFont="1" applyFill="1" applyBorder="1" applyAlignment="1">
      <alignment horizontal="center" vertical="center"/>
    </xf>
    <xf numFmtId="0" fontId="3" fillId="10" borderId="2" xfId="0" applyFont="1" applyFill="1" applyBorder="1" applyAlignment="1">
      <alignment horizontal="center" vertical="center" wrapText="1"/>
    </xf>
    <xf numFmtId="164" fontId="3" fillId="3" borderId="23" xfId="0" applyNumberFormat="1" applyFont="1" applyFill="1" applyBorder="1" applyAlignment="1">
      <alignment horizontal="center" vertical="center" wrapText="1"/>
    </xf>
    <xf numFmtId="0" fontId="1" fillId="0" borderId="11" xfId="0" applyFont="1" applyBorder="1"/>
    <xf numFmtId="0" fontId="8" fillId="8" borderId="16" xfId="1" applyFont="1" applyFill="1" applyBorder="1" applyAlignment="1">
      <alignment horizontal="center" vertical="center"/>
    </xf>
    <xf numFmtId="0" fontId="8" fillId="8" borderId="21" xfId="1" applyFont="1" applyFill="1" applyBorder="1" applyAlignment="1">
      <alignment horizontal="center" vertical="center"/>
    </xf>
    <xf numFmtId="0" fontId="8" fillId="8" borderId="27" xfId="1" applyFont="1" applyFill="1" applyBorder="1" applyAlignment="1">
      <alignment horizontal="center" vertical="center"/>
    </xf>
    <xf numFmtId="0" fontId="8" fillId="0" borderId="17" xfId="1" applyFont="1" applyBorder="1" applyAlignment="1">
      <alignment horizontal="center" vertical="center"/>
    </xf>
    <xf numFmtId="0" fontId="8" fillId="0" borderId="22" xfId="1" applyFont="1" applyBorder="1" applyAlignment="1">
      <alignment horizontal="center" vertical="center"/>
    </xf>
    <xf numFmtId="0" fontId="8" fillId="0" borderId="11" xfId="1" applyFont="1" applyBorder="1" applyAlignment="1">
      <alignment horizontal="center" vertical="center"/>
    </xf>
    <xf numFmtId="0" fontId="8" fillId="0" borderId="23" xfId="1" applyFont="1" applyBorder="1" applyAlignment="1">
      <alignment horizontal="center" vertical="center"/>
    </xf>
    <xf numFmtId="0" fontId="8" fillId="0" borderId="23" xfId="1" applyFont="1" applyBorder="1" applyAlignment="1">
      <alignment horizontal="center" vertical="center" wrapText="1"/>
    </xf>
    <xf numFmtId="0" fontId="8" fillId="0" borderId="22" xfId="1" applyFont="1" applyBorder="1" applyAlignment="1">
      <alignment horizontal="center" vertical="center" wrapText="1"/>
    </xf>
    <xf numFmtId="0" fontId="8" fillId="0" borderId="28" xfId="1" applyFont="1" applyBorder="1" applyAlignment="1">
      <alignment horizontal="center" vertical="center" wrapText="1"/>
    </xf>
    <xf numFmtId="0" fontId="6" fillId="0" borderId="23" xfId="1" applyFont="1" applyBorder="1" applyAlignment="1">
      <alignment horizontal="center" vertical="center"/>
    </xf>
    <xf numFmtId="0" fontId="6" fillId="0" borderId="22" xfId="1" applyFont="1" applyBorder="1" applyAlignment="1">
      <alignment horizontal="center" vertical="center"/>
    </xf>
    <xf numFmtId="0" fontId="6" fillId="0" borderId="11" xfId="1" applyFont="1" applyBorder="1" applyAlignment="1">
      <alignment horizontal="center" vertical="center"/>
    </xf>
    <xf numFmtId="20" fontId="6" fillId="0" borderId="23" xfId="4" applyNumberFormat="1" applyFont="1" applyBorder="1" applyAlignment="1">
      <alignment horizontal="center" vertical="center"/>
    </xf>
    <xf numFmtId="20" fontId="6" fillId="0" borderId="22" xfId="4" applyNumberFormat="1" applyFont="1" applyBorder="1" applyAlignment="1">
      <alignment horizontal="center" vertical="center"/>
    </xf>
    <xf numFmtId="20" fontId="6" fillId="0" borderId="11" xfId="4" applyNumberFormat="1" applyFont="1" applyBorder="1" applyAlignment="1">
      <alignment horizontal="center" vertical="center"/>
    </xf>
    <xf numFmtId="0" fontId="6" fillId="0" borderId="23" xfId="1" applyFont="1" applyBorder="1" applyAlignment="1">
      <alignment horizontal="center" vertical="center" wrapText="1"/>
    </xf>
    <xf numFmtId="0" fontId="6" fillId="0" borderId="22" xfId="1" applyFont="1" applyBorder="1" applyAlignment="1">
      <alignment horizontal="center" vertical="center" wrapText="1"/>
    </xf>
    <xf numFmtId="0" fontId="6" fillId="0" borderId="11" xfId="1" applyFont="1" applyBorder="1" applyAlignment="1">
      <alignment horizontal="center" vertical="center" wrapText="1"/>
    </xf>
    <xf numFmtId="0" fontId="11" fillId="0" borderId="24" xfId="1" applyFont="1" applyBorder="1" applyAlignment="1">
      <alignment horizontal="center" vertical="center" wrapText="1"/>
    </xf>
    <xf numFmtId="0" fontId="11" fillId="0" borderId="25" xfId="1" applyFont="1" applyBorder="1" applyAlignment="1">
      <alignment horizontal="center" vertical="center" wrapText="1"/>
    </xf>
    <xf numFmtId="0" fontId="11" fillId="0" borderId="26" xfId="1" applyFont="1" applyBorder="1" applyAlignment="1">
      <alignment horizontal="center" vertical="center" wrapText="1"/>
    </xf>
    <xf numFmtId="0" fontId="7" fillId="0" borderId="13" xfId="3" applyFont="1" applyBorder="1" applyAlignment="1">
      <alignment horizontal="center" vertical="center" wrapText="1"/>
    </xf>
    <xf numFmtId="0" fontId="7" fillId="0" borderId="0" xfId="3" applyFont="1" applyAlignment="1">
      <alignment horizontal="center" vertical="center"/>
    </xf>
    <xf numFmtId="0" fontId="7" fillId="0" borderId="0" xfId="3" applyFont="1" applyAlignment="1">
      <alignment vertical="center"/>
    </xf>
    <xf numFmtId="0" fontId="2" fillId="0" borderId="0" xfId="0" applyFont="1"/>
    <xf numFmtId="0" fontId="7" fillId="0" borderId="13" xfId="3" applyFont="1" applyBorder="1" applyAlignment="1">
      <alignment horizontal="center" vertical="center"/>
    </xf>
    <xf numFmtId="0" fontId="1" fillId="0" borderId="0" xfId="3" applyFont="1" applyAlignment="1">
      <alignment horizontal="center" vertical="center" wrapText="1"/>
    </xf>
    <xf numFmtId="0" fontId="1" fillId="0" borderId="0" xfId="3" applyFont="1" applyAlignment="1">
      <alignment horizontal="center"/>
    </xf>
    <xf numFmtId="0" fontId="1" fillId="0" borderId="0" xfId="3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3" xfId="0" applyFont="1" applyBorder="1"/>
    <xf numFmtId="0" fontId="1" fillId="0" borderId="4" xfId="0" applyFont="1" applyBorder="1"/>
    <xf numFmtId="0" fontId="3" fillId="3" borderId="5" xfId="0" applyFont="1" applyFill="1" applyBorder="1" applyAlignment="1">
      <alignment horizontal="center" vertical="center"/>
    </xf>
    <xf numFmtId="0" fontId="1" fillId="0" borderId="5" xfId="0" applyFont="1" applyBorder="1"/>
    <xf numFmtId="0" fontId="3" fillId="3" borderId="9" xfId="0" applyFont="1" applyFill="1" applyBorder="1" applyAlignment="1">
      <alignment horizontal="center" vertical="center"/>
    </xf>
    <xf numFmtId="0" fontId="1" fillId="0" borderId="8" xfId="0" applyFont="1" applyBorder="1"/>
    <xf numFmtId="0" fontId="3" fillId="3" borderId="6" xfId="0" applyFont="1" applyFill="1" applyBorder="1" applyAlignment="1">
      <alignment horizontal="center" vertical="center"/>
    </xf>
    <xf numFmtId="0" fontId="1" fillId="0" borderId="7" xfId="0" applyFont="1" applyBorder="1"/>
    <xf numFmtId="0" fontId="3" fillId="2" borderId="2" xfId="0" applyFont="1" applyFill="1" applyBorder="1" applyAlignment="1">
      <alignment horizontal="center" vertical="center" wrapText="1"/>
    </xf>
    <xf numFmtId="0" fontId="7" fillId="3" borderId="32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center"/>
    </xf>
    <xf numFmtId="0" fontId="13" fillId="3" borderId="9" xfId="0" applyFont="1" applyFill="1" applyBorder="1" applyAlignment="1">
      <alignment horizontal="center" vertical="center"/>
    </xf>
    <xf numFmtId="0" fontId="13" fillId="3" borderId="8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/>
    </xf>
    <xf numFmtId="0" fontId="3" fillId="3" borderId="5" xfId="0" applyFont="1" applyFill="1" applyBorder="1" applyAlignment="1">
      <alignment horizontal="left" vertical="center" wrapText="1"/>
    </xf>
    <xf numFmtId="0" fontId="3" fillId="3" borderId="30" xfId="0" applyFont="1" applyFill="1" applyBorder="1" applyAlignment="1">
      <alignment horizontal="left" vertical="center" wrapText="1"/>
    </xf>
    <xf numFmtId="0" fontId="3" fillId="3" borderId="31" xfId="0" applyFont="1" applyFill="1" applyBorder="1" applyAlignment="1">
      <alignment horizontal="left" vertical="center" wrapText="1"/>
    </xf>
    <xf numFmtId="0" fontId="2" fillId="3" borderId="5" xfId="0" applyFont="1" applyFill="1" applyBorder="1" applyAlignment="1">
      <alignment horizontal="left" vertical="center" wrapText="1"/>
    </xf>
    <xf numFmtId="0" fontId="2" fillId="3" borderId="30" xfId="0" applyFont="1" applyFill="1" applyBorder="1" applyAlignment="1">
      <alignment horizontal="left" vertical="center" wrapText="1"/>
    </xf>
    <xf numFmtId="0" fontId="2" fillId="3" borderId="31" xfId="0" applyFont="1" applyFill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1" fillId="0" borderId="6" xfId="0" applyFont="1" applyBorder="1"/>
    <xf numFmtId="0" fontId="3" fillId="3" borderId="3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8" fillId="8" borderId="2" xfId="1" applyFont="1" applyFill="1" applyBorder="1" applyAlignment="1">
      <alignment horizontal="center" vertical="center"/>
    </xf>
    <xf numFmtId="0" fontId="12" fillId="8" borderId="2" xfId="1" applyFont="1" applyFill="1" applyBorder="1"/>
    <xf numFmtId="0" fontId="2" fillId="0" borderId="2" xfId="0" applyFont="1" applyBorder="1"/>
    <xf numFmtId="0" fontId="8" fillId="0" borderId="2" xfId="1" applyFont="1" applyBorder="1" applyAlignment="1">
      <alignment horizontal="center" vertical="center"/>
    </xf>
    <xf numFmtId="0" fontId="12" fillId="0" borderId="2" xfId="1" applyFont="1" applyBorder="1"/>
    <xf numFmtId="0" fontId="12" fillId="0" borderId="5" xfId="1" applyFont="1" applyBorder="1"/>
    <xf numFmtId="0" fontId="8" fillId="0" borderId="2" xfId="1" applyFont="1" applyBorder="1" applyAlignment="1">
      <alignment horizontal="center" vertical="center" wrapText="1"/>
    </xf>
    <xf numFmtId="20" fontId="6" fillId="0" borderId="2" xfId="4" applyNumberFormat="1" applyFont="1" applyBorder="1" applyAlignment="1">
      <alignment horizontal="center" vertical="center"/>
    </xf>
    <xf numFmtId="0" fontId="12" fillId="0" borderId="2" xfId="4" applyFont="1" applyBorder="1"/>
    <xf numFmtId="164" fontId="6" fillId="0" borderId="2" xfId="4" applyNumberFormat="1" applyFont="1" applyBorder="1" applyAlignment="1">
      <alignment horizontal="center" vertical="center" wrapText="1"/>
    </xf>
    <xf numFmtId="0" fontId="12" fillId="0" borderId="22" xfId="4" applyFont="1" applyBorder="1"/>
    <xf numFmtId="0" fontId="12" fillId="0" borderId="11" xfId="4" applyFont="1" applyBorder="1"/>
    <xf numFmtId="1" fontId="6" fillId="0" borderId="2" xfId="4" applyNumberFormat="1" applyFont="1" applyBorder="1" applyAlignment="1">
      <alignment horizontal="center" vertical="center" wrapText="1"/>
    </xf>
    <xf numFmtId="20" fontId="6" fillId="0" borderId="4" xfId="4" applyNumberFormat="1" applyFont="1" applyBorder="1" applyAlignment="1">
      <alignment horizontal="center" vertical="center"/>
    </xf>
    <xf numFmtId="0" fontId="12" fillId="0" borderId="43" xfId="4" applyFont="1" applyBorder="1"/>
    <xf numFmtId="0" fontId="6" fillId="0" borderId="3" xfId="1" applyFont="1" applyBorder="1" applyAlignment="1">
      <alignment horizontal="center" vertical="center"/>
    </xf>
    <xf numFmtId="0" fontId="12" fillId="0" borderId="0" xfId="1" applyFont="1"/>
    <xf numFmtId="0" fontId="12" fillId="0" borderId="6" xfId="1" applyFont="1" applyBorder="1"/>
    <xf numFmtId="0" fontId="12" fillId="0" borderId="7" xfId="4" applyFont="1" applyBorder="1"/>
    <xf numFmtId="0" fontId="3" fillId="3" borderId="3" xfId="0" applyFont="1" applyFill="1" applyBorder="1" applyAlignment="1">
      <alignment horizontal="center" vertical="center" wrapText="1"/>
    </xf>
    <xf numFmtId="1" fontId="6" fillId="0" borderId="5" xfId="4" applyNumberFormat="1" applyFont="1" applyBorder="1" applyAlignment="1">
      <alignment horizontal="center" vertical="center" wrapText="1"/>
    </xf>
    <xf numFmtId="1" fontId="6" fillId="0" borderId="30" xfId="4" applyNumberFormat="1" applyFont="1" applyBorder="1" applyAlignment="1">
      <alignment horizontal="center" vertical="center" wrapText="1"/>
    </xf>
    <xf numFmtId="1" fontId="6" fillId="0" borderId="31" xfId="4" applyNumberFormat="1" applyFont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164" fontId="6" fillId="0" borderId="5" xfId="4" applyNumberFormat="1" applyFont="1" applyBorder="1" applyAlignment="1">
      <alignment horizontal="center" vertical="center" wrapText="1"/>
    </xf>
    <xf numFmtId="164" fontId="6" fillId="0" borderId="30" xfId="4" applyNumberFormat="1" applyFont="1" applyBorder="1" applyAlignment="1">
      <alignment horizontal="center" vertical="center" wrapText="1"/>
    </xf>
    <xf numFmtId="164" fontId="6" fillId="0" borderId="31" xfId="4" applyNumberFormat="1" applyFont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/>
    </xf>
    <xf numFmtId="0" fontId="11" fillId="0" borderId="2" xfId="1" applyFont="1" applyBorder="1" applyAlignment="1">
      <alignment horizontal="center" vertical="center" wrapText="1"/>
    </xf>
    <xf numFmtId="0" fontId="3" fillId="3" borderId="36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/>
    </xf>
    <xf numFmtId="0" fontId="7" fillId="3" borderId="36" xfId="0" applyFont="1" applyFill="1" applyBorder="1" applyAlignment="1">
      <alignment horizontal="center" vertical="center"/>
    </xf>
    <xf numFmtId="0" fontId="7" fillId="3" borderId="37" xfId="0" applyFont="1" applyFill="1" applyBorder="1" applyAlignment="1">
      <alignment horizontal="center" vertical="center"/>
    </xf>
    <xf numFmtId="0" fontId="7" fillId="3" borderId="38" xfId="0" applyFont="1" applyFill="1" applyBorder="1" applyAlignment="1">
      <alignment horizontal="center" vertical="center"/>
    </xf>
    <xf numFmtId="0" fontId="3" fillId="3" borderId="33" xfId="0" applyFont="1" applyFill="1" applyBorder="1" applyAlignment="1">
      <alignment horizontal="center" vertical="center"/>
    </xf>
    <xf numFmtId="164" fontId="3" fillId="3" borderId="11" xfId="0" applyNumberFormat="1" applyFont="1" applyFill="1" applyBorder="1" applyAlignment="1">
      <alignment horizontal="center" vertical="center" wrapText="1"/>
    </xf>
    <xf numFmtId="0" fontId="13" fillId="3" borderId="46" xfId="0" applyFont="1" applyFill="1" applyBorder="1" applyAlignment="1">
      <alignment horizontal="center" vertical="center"/>
    </xf>
    <xf numFmtId="0" fontId="13" fillId="3" borderId="49" xfId="0" applyFont="1" applyFill="1" applyBorder="1" applyAlignment="1">
      <alignment horizontal="center" vertical="center"/>
    </xf>
    <xf numFmtId="0" fontId="3" fillId="3" borderId="47" xfId="0" applyFont="1" applyFill="1" applyBorder="1" applyAlignment="1">
      <alignment horizontal="center" vertical="center" wrapText="1"/>
    </xf>
    <xf numFmtId="0" fontId="3" fillId="3" borderId="48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45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12" fillId="8" borderId="21" xfId="1" applyFont="1" applyFill="1" applyBorder="1"/>
    <xf numFmtId="0" fontId="12" fillId="8" borderId="27" xfId="1" applyFont="1" applyFill="1" applyBorder="1"/>
    <xf numFmtId="0" fontId="8" fillId="0" borderId="42" xfId="1" applyFont="1" applyBorder="1" applyAlignment="1">
      <alignment horizontal="center" vertical="center"/>
    </xf>
    <xf numFmtId="0" fontId="12" fillId="0" borderId="43" xfId="1" applyFont="1" applyBorder="1"/>
    <xf numFmtId="0" fontId="12" fillId="0" borderId="7" xfId="1" applyFont="1" applyBorder="1"/>
    <xf numFmtId="0" fontId="8" fillId="0" borderId="4" xfId="1" applyFont="1" applyBorder="1" applyAlignment="1">
      <alignment horizontal="center" vertical="center"/>
    </xf>
    <xf numFmtId="0" fontId="12" fillId="0" borderId="22" xfId="1" applyFont="1" applyBorder="1"/>
    <xf numFmtId="0" fontId="12" fillId="0" borderId="28" xfId="1" applyFont="1" applyBorder="1"/>
    <xf numFmtId="0" fontId="6" fillId="0" borderId="1" xfId="1" applyFont="1" applyBorder="1" applyAlignment="1">
      <alignment horizontal="center" vertical="center"/>
    </xf>
    <xf numFmtId="0" fontId="12" fillId="0" borderId="44" xfId="1" applyFont="1" applyBorder="1"/>
    <xf numFmtId="0" fontId="12" fillId="0" borderId="45" xfId="1" applyFont="1" applyBorder="1"/>
    <xf numFmtId="0" fontId="3" fillId="3" borderId="39" xfId="0" applyFont="1" applyFill="1" applyBorder="1" applyAlignment="1">
      <alignment horizontal="center" vertical="center"/>
    </xf>
    <xf numFmtId="0" fontId="3" fillId="3" borderId="40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 wrapText="1"/>
    </xf>
    <xf numFmtId="0" fontId="3" fillId="2" borderId="30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6" borderId="6" xfId="0" applyFont="1" applyFill="1" applyBorder="1" applyAlignment="1">
      <alignment horizontal="center" vertical="center"/>
    </xf>
  </cellXfs>
  <cellStyles count="5">
    <cellStyle name="Normal" xfId="0" builtinId="0"/>
    <cellStyle name="Normal 2" xfId="1" xr:uid="{00000000-0005-0000-0000-000031000000}"/>
    <cellStyle name="Normal 3" xfId="2" xr:uid="{00000000-0005-0000-0000-000032000000}"/>
    <cellStyle name="Normal 3 10" xfId="3" xr:uid="{00000000-0005-0000-0000-000033000000}"/>
    <cellStyle name="Normal 34" xfId="4" xr:uid="{00000000-0005-0000-0000-000034000000}"/>
  </cellStyles>
  <dxfs count="0"/>
  <tableStyles count="1" defaultTableStyle="TableStyleMedium2" defaultPivotStyle="PivotStyleLight16">
    <tableStyle name="Invisible" pivot="0" table="0" count="0" xr9:uid="{D4613FDE-8C3A-41B5-B55D-48FED8E004B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4.pn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5.png"/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4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85724</xdr:colOff>
      <xdr:row>35</xdr:row>
      <xdr:rowOff>267230</xdr:rowOff>
    </xdr:from>
    <xdr:ext cx="1076325" cy="723899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alphaModFix amt="85000"/>
        </a:blip>
        <a:stretch>
          <a:fillRect/>
        </a:stretch>
      </xdr:blipFill>
      <xdr:spPr>
        <a:xfrm>
          <a:off x="6498590" y="8253730"/>
          <a:ext cx="107632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0</xdr:row>
      <xdr:rowOff>66675</xdr:rowOff>
    </xdr:from>
    <xdr:ext cx="1272117" cy="714375"/>
    <xdr:pic>
      <xdr:nvPicPr>
        <xdr:cNvPr id="2" name="image2.png" descr="Logo MSM Formatos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38150" y="66675"/>
          <a:ext cx="1271905" cy="714375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1</xdr:col>
      <xdr:colOff>920760</xdr:colOff>
      <xdr:row>35</xdr:row>
      <xdr:rowOff>163439</xdr:rowOff>
    </xdr:from>
    <xdr:to>
      <xdr:col>3</xdr:col>
      <xdr:colOff>78031</xdr:colOff>
      <xdr:row>40</xdr:row>
      <xdr:rowOff>57018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879351">
          <a:off x="1149350" y="8150225"/>
          <a:ext cx="1578610" cy="12268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209550</xdr:colOff>
      <xdr:row>0</xdr:row>
      <xdr:rowOff>66675</xdr:rowOff>
    </xdr:from>
    <xdr:ext cx="1272117" cy="714375"/>
    <xdr:pic>
      <xdr:nvPicPr>
        <xdr:cNvPr id="2" name="image2.png" descr="Logo MSM Formatos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38150" y="66675"/>
          <a:ext cx="1271905" cy="71437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0</xdr:row>
      <xdr:rowOff>66675</xdr:rowOff>
    </xdr:from>
    <xdr:ext cx="1272117" cy="714375"/>
    <xdr:pic>
      <xdr:nvPicPr>
        <xdr:cNvPr id="6" name="image2.png" descr="Logo MSM Formatos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38150" y="66675"/>
          <a:ext cx="1271905" cy="714375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1</xdr:col>
      <xdr:colOff>868045</xdr:colOff>
      <xdr:row>35</xdr:row>
      <xdr:rowOff>201930</xdr:rowOff>
    </xdr:from>
    <xdr:to>
      <xdr:col>3</xdr:col>
      <xdr:colOff>12617</xdr:colOff>
      <xdr:row>40</xdr:row>
      <xdr:rowOff>154511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879351">
          <a:off x="1096645" y="8319135"/>
          <a:ext cx="1563370" cy="1190625"/>
        </a:xfrm>
        <a:prstGeom prst="rect">
          <a:avLst/>
        </a:prstGeom>
      </xdr:spPr>
    </xdr:pic>
    <xdr:clientData/>
  </xdr:twoCellAnchor>
  <xdr:oneCellAnchor>
    <xdr:from>
      <xdr:col>13</xdr:col>
      <xdr:colOff>238124</xdr:colOff>
      <xdr:row>36</xdr:row>
      <xdr:rowOff>20638</xdr:rowOff>
    </xdr:from>
    <xdr:ext cx="1076325" cy="723899"/>
    <xdr:pic>
      <xdr:nvPicPr>
        <xdr:cNvPr id="5" name="image1.png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>
          <a:alphaModFix amt="85000"/>
        </a:blip>
        <a:stretch>
          <a:fillRect/>
        </a:stretch>
      </xdr:blipFill>
      <xdr:spPr>
        <a:xfrm>
          <a:off x="6574790" y="8385175"/>
          <a:ext cx="107632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0</xdr:row>
      <xdr:rowOff>66675</xdr:rowOff>
    </xdr:from>
    <xdr:ext cx="1272117" cy="714375"/>
    <xdr:pic>
      <xdr:nvPicPr>
        <xdr:cNvPr id="4" name="image2.png" descr="Logo MSM Formatos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38150" y="66675"/>
          <a:ext cx="1271905" cy="714375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209550</xdr:colOff>
      <xdr:row>0</xdr:row>
      <xdr:rowOff>66675</xdr:rowOff>
    </xdr:from>
    <xdr:ext cx="1272117" cy="714375"/>
    <xdr:pic>
      <xdr:nvPicPr>
        <xdr:cNvPr id="2" name="image2.png" descr="Logo MSM Formatos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38150" y="66675"/>
          <a:ext cx="1271905" cy="714375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1</xdr:col>
      <xdr:colOff>577207</xdr:colOff>
      <xdr:row>36</xdr:row>
      <xdr:rowOff>95832</xdr:rowOff>
    </xdr:from>
    <xdr:to>
      <xdr:col>3</xdr:col>
      <xdr:colOff>102842</xdr:colOff>
      <xdr:row>41</xdr:row>
      <xdr:rowOff>48412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879351">
          <a:off x="805180" y="8844915"/>
          <a:ext cx="1951355" cy="1191260"/>
        </a:xfrm>
        <a:prstGeom prst="rect">
          <a:avLst/>
        </a:prstGeom>
      </xdr:spPr>
    </xdr:pic>
    <xdr:clientData/>
  </xdr:twoCellAnchor>
  <xdr:oneCellAnchor>
    <xdr:from>
      <xdr:col>13</xdr:col>
      <xdr:colOff>241299</xdr:colOff>
      <xdr:row>37</xdr:row>
      <xdr:rowOff>0</xdr:rowOff>
    </xdr:from>
    <xdr:ext cx="1076325" cy="744537"/>
    <xdr:pic>
      <xdr:nvPicPr>
        <xdr:cNvPr id="4" name="image1.png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>
          <a:alphaModFix amt="85000"/>
        </a:blip>
        <a:stretch>
          <a:fillRect/>
        </a:stretch>
      </xdr:blipFill>
      <xdr:spPr>
        <a:xfrm>
          <a:off x="6634955" y="8560594"/>
          <a:ext cx="1076325" cy="744537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0</xdr:row>
      <xdr:rowOff>66675</xdr:rowOff>
    </xdr:from>
    <xdr:ext cx="1272117" cy="714375"/>
    <xdr:pic>
      <xdr:nvPicPr>
        <xdr:cNvPr id="5" name="image2.png" descr="Logo MSM Formatos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38150" y="66675"/>
          <a:ext cx="1271905" cy="714375"/>
        </a:xfrm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209550</xdr:colOff>
      <xdr:row>0</xdr:row>
      <xdr:rowOff>66675</xdr:rowOff>
    </xdr:from>
    <xdr:ext cx="1272117" cy="714375"/>
    <xdr:pic>
      <xdr:nvPicPr>
        <xdr:cNvPr id="2" name="image2.png" descr="Logo MSM Formatos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38150" y="66675"/>
          <a:ext cx="1271905" cy="71437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0</xdr:row>
      <xdr:rowOff>66675</xdr:rowOff>
    </xdr:from>
    <xdr:ext cx="1272117" cy="714375"/>
    <xdr:pic>
      <xdr:nvPicPr>
        <xdr:cNvPr id="3" name="image2.png" descr="Logo MSM Formatos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38150" y="66675"/>
          <a:ext cx="1271905" cy="714375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1</xdr:col>
      <xdr:colOff>303883</xdr:colOff>
      <xdr:row>31</xdr:row>
      <xdr:rowOff>202106</xdr:rowOff>
    </xdr:from>
    <xdr:to>
      <xdr:col>2</xdr:col>
      <xdr:colOff>86368</xdr:colOff>
      <xdr:row>36</xdr:row>
      <xdr:rowOff>151513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879351">
          <a:off x="530102" y="7226794"/>
          <a:ext cx="1910529" cy="1199563"/>
        </a:xfrm>
        <a:prstGeom prst="rect">
          <a:avLst/>
        </a:prstGeom>
      </xdr:spPr>
    </xdr:pic>
    <xdr:clientData/>
  </xdr:twoCellAnchor>
  <xdr:oneCellAnchor>
    <xdr:from>
      <xdr:col>6</xdr:col>
      <xdr:colOff>196056</xdr:colOff>
      <xdr:row>33</xdr:row>
      <xdr:rowOff>35721</xdr:rowOff>
    </xdr:from>
    <xdr:ext cx="1076325" cy="848517"/>
    <xdr:pic>
      <xdr:nvPicPr>
        <xdr:cNvPr id="6" name="image1.png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>
          <a:alphaModFix amt="85000"/>
        </a:blip>
        <a:stretch>
          <a:fillRect/>
        </a:stretch>
      </xdr:blipFill>
      <xdr:spPr>
        <a:xfrm>
          <a:off x="3898900" y="7560471"/>
          <a:ext cx="1076325" cy="848517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0</xdr:row>
      <xdr:rowOff>66675</xdr:rowOff>
    </xdr:from>
    <xdr:ext cx="1272117" cy="714375"/>
    <xdr:pic>
      <xdr:nvPicPr>
        <xdr:cNvPr id="5" name="image2.png" descr="Logo MSM Formatos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38150" y="66675"/>
          <a:ext cx="1271905" cy="714375"/>
        </a:xfrm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209550</xdr:colOff>
      <xdr:row>0</xdr:row>
      <xdr:rowOff>66675</xdr:rowOff>
    </xdr:from>
    <xdr:ext cx="1272117" cy="714375"/>
    <xdr:pic>
      <xdr:nvPicPr>
        <xdr:cNvPr id="2" name="image2.png" descr="Logo MSM Formatos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38150" y="66675"/>
          <a:ext cx="1271905" cy="714375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1</xdr:col>
      <xdr:colOff>577207</xdr:colOff>
      <xdr:row>28</xdr:row>
      <xdr:rowOff>95832</xdr:rowOff>
    </xdr:from>
    <xdr:to>
      <xdr:col>3</xdr:col>
      <xdr:colOff>102862</xdr:colOff>
      <xdr:row>33</xdr:row>
      <xdr:rowOff>48842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879351">
          <a:off x="805180" y="6574155"/>
          <a:ext cx="1951355" cy="1191260"/>
        </a:xfrm>
        <a:prstGeom prst="rect">
          <a:avLst/>
        </a:prstGeom>
      </xdr:spPr>
    </xdr:pic>
    <xdr:clientData/>
  </xdr:twoCellAnchor>
  <xdr:oneCellAnchor>
    <xdr:from>
      <xdr:col>13</xdr:col>
      <xdr:colOff>174625</xdr:colOff>
      <xdr:row>28</xdr:row>
      <xdr:rowOff>7938</xdr:rowOff>
    </xdr:from>
    <xdr:ext cx="1314449" cy="1339849"/>
    <xdr:pic>
      <xdr:nvPicPr>
        <xdr:cNvPr id="4" name="image1.png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>
          <a:alphaModFix amt="85000"/>
        </a:blip>
        <a:stretch>
          <a:fillRect/>
        </a:stretch>
      </xdr:blipFill>
      <xdr:spPr>
        <a:xfrm>
          <a:off x="6537325" y="6486525"/>
          <a:ext cx="1313815" cy="133985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0</xdr:row>
      <xdr:rowOff>66675</xdr:rowOff>
    </xdr:from>
    <xdr:ext cx="1272117" cy="714375"/>
    <xdr:pic>
      <xdr:nvPicPr>
        <xdr:cNvPr id="5" name="image2.png" descr="Logo MSM Formatos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38150" y="66675"/>
          <a:ext cx="1271905" cy="71437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  <pageSetUpPr fitToPage="1"/>
  </sheetPr>
  <dimension ref="A1:BD41"/>
  <sheetViews>
    <sheetView showGridLines="0" topLeftCell="A13" zoomScale="90" zoomScaleNormal="90" zoomScaleSheetLayoutView="90" workbookViewId="0">
      <pane xSplit="1" topLeftCell="B1" activePane="topRight" state="frozen"/>
      <selection pane="topRight" activeCell="C10" sqref="C9:T15"/>
    </sheetView>
  </sheetViews>
  <sheetFormatPr baseColWidth="10" defaultColWidth="12.58203125" defaultRowHeight="15" customHeight="1"/>
  <cols>
    <col min="1" max="1" width="3" style="2" customWidth="1"/>
    <col min="2" max="2" width="28.58203125" style="2" customWidth="1"/>
    <col min="3" max="3" width="3.25" style="2" customWidth="1"/>
    <col min="4" max="4" width="4.33203125" style="2" customWidth="1"/>
    <col min="5" max="5" width="4.5" style="2" customWidth="1"/>
    <col min="6" max="6" width="3.25" style="2" customWidth="1"/>
    <col min="7" max="7" width="3.83203125" style="2" customWidth="1"/>
    <col min="8" max="8" width="4.33203125" style="2" customWidth="1"/>
    <col min="9" max="11" width="3.25" style="2" customWidth="1"/>
    <col min="12" max="12" width="4.33203125" style="2" customWidth="1"/>
    <col min="13" max="13" width="4.25" style="2" customWidth="1"/>
    <col min="14" max="14" width="3.25" style="2" customWidth="1"/>
    <col min="15" max="16" width="4.33203125" style="2" customWidth="1"/>
    <col min="17" max="19" width="3.25" style="2" customWidth="1"/>
    <col min="20" max="21" width="4.33203125" style="2" customWidth="1"/>
    <col min="22" max="22" width="3.25" style="2" customWidth="1"/>
    <col min="23" max="24" width="4.33203125" style="2" customWidth="1"/>
    <col min="25" max="28" width="3.25" style="2" customWidth="1"/>
    <col min="29" max="29" width="4.5" style="2" customWidth="1"/>
    <col min="30" max="36" width="3.25" style="2" customWidth="1"/>
    <col min="37" max="37" width="4.08203125" style="2" customWidth="1"/>
    <col min="38" max="38" width="3.25" style="2" customWidth="1"/>
    <col min="39" max="39" width="4.33203125" style="2" customWidth="1"/>
    <col min="40" max="40" width="3.25" style="2" customWidth="1"/>
    <col min="41" max="44" width="4.33203125" style="2" customWidth="1"/>
    <col min="45" max="45" width="5.25" style="2" customWidth="1"/>
    <col min="46" max="46" width="4.25" style="2" customWidth="1"/>
    <col min="47" max="47" width="12.5" style="2" customWidth="1"/>
    <col min="48" max="48" width="9.33203125" style="2" customWidth="1"/>
    <col min="49" max="56" width="10" style="2" customWidth="1"/>
    <col min="57" max="16384" width="12.58203125" style="2"/>
  </cols>
  <sheetData>
    <row r="1" spans="1:56" ht="15.75" customHeight="1">
      <c r="A1" s="3"/>
      <c r="B1" s="142"/>
      <c r="C1" s="160" t="s">
        <v>70</v>
      </c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  <c r="O1" s="160"/>
      <c r="P1" s="160"/>
      <c r="Q1" s="160"/>
      <c r="R1" s="160"/>
      <c r="S1" s="160"/>
      <c r="T1" s="160"/>
      <c r="U1" s="160"/>
      <c r="V1" s="160"/>
      <c r="W1" s="160"/>
      <c r="X1" s="160"/>
      <c r="Y1" s="160"/>
      <c r="Z1" s="160"/>
      <c r="AA1" s="160"/>
      <c r="AB1" s="160"/>
      <c r="AC1" s="159" t="s">
        <v>0</v>
      </c>
      <c r="AD1" s="160"/>
      <c r="AE1" s="160"/>
      <c r="AF1" s="160"/>
      <c r="AG1" s="160"/>
      <c r="AH1" s="160"/>
      <c r="AI1" s="160"/>
      <c r="AJ1" s="160"/>
      <c r="AK1" s="160"/>
      <c r="AL1" s="160"/>
      <c r="AM1" s="159" t="s">
        <v>0</v>
      </c>
      <c r="AN1" s="159"/>
      <c r="AO1" s="159"/>
      <c r="AP1" s="159"/>
      <c r="AR1" s="57"/>
      <c r="AV1" s="6"/>
      <c r="AW1" s="6"/>
      <c r="AX1" s="6"/>
      <c r="AY1" s="3"/>
      <c r="AZ1" s="3"/>
      <c r="BA1" s="3"/>
      <c r="BB1" s="3"/>
      <c r="BC1" s="3"/>
      <c r="BD1" s="3"/>
    </row>
    <row r="2" spans="1:56" ht="15" customHeight="1">
      <c r="A2" s="3"/>
      <c r="B2" s="143"/>
      <c r="C2" s="160"/>
      <c r="D2" s="160"/>
      <c r="E2" s="160"/>
      <c r="F2" s="160"/>
      <c r="G2" s="160"/>
      <c r="H2" s="160"/>
      <c r="I2" s="160"/>
      <c r="J2" s="160"/>
      <c r="K2" s="160"/>
      <c r="L2" s="160"/>
      <c r="M2" s="160"/>
      <c r="N2" s="160"/>
      <c r="O2" s="160"/>
      <c r="P2" s="160"/>
      <c r="Q2" s="160"/>
      <c r="R2" s="160"/>
      <c r="S2" s="160"/>
      <c r="T2" s="160"/>
      <c r="U2" s="160"/>
      <c r="V2" s="160"/>
      <c r="W2" s="160"/>
      <c r="X2" s="160"/>
      <c r="Y2" s="160"/>
      <c r="Z2" s="160"/>
      <c r="AA2" s="160"/>
      <c r="AB2" s="160"/>
      <c r="AC2" s="161" t="s">
        <v>1</v>
      </c>
      <c r="AD2" s="160"/>
      <c r="AE2" s="160"/>
      <c r="AF2" s="160"/>
      <c r="AG2" s="160"/>
      <c r="AH2" s="160"/>
      <c r="AI2" s="160"/>
      <c r="AJ2" s="160"/>
      <c r="AK2" s="160"/>
      <c r="AL2" s="160"/>
      <c r="AM2" s="161" t="s">
        <v>1</v>
      </c>
      <c r="AN2" s="162"/>
      <c r="AO2" s="162"/>
      <c r="AP2" s="163"/>
      <c r="AQ2" s="57"/>
      <c r="AR2" s="57"/>
      <c r="AV2" s="6"/>
      <c r="AW2" s="6"/>
      <c r="AX2" s="6"/>
      <c r="AY2" s="3"/>
      <c r="AZ2" s="3"/>
      <c r="BA2" s="3"/>
      <c r="BB2" s="3"/>
      <c r="BC2" s="3"/>
      <c r="BD2" s="3"/>
    </row>
    <row r="3" spans="1:56" ht="20.25" customHeight="1">
      <c r="A3" s="3"/>
      <c r="B3" s="143"/>
      <c r="C3" s="160"/>
      <c r="D3" s="160"/>
      <c r="E3" s="160"/>
      <c r="F3" s="160"/>
      <c r="G3" s="160"/>
      <c r="H3" s="160"/>
      <c r="I3" s="160"/>
      <c r="J3" s="160"/>
      <c r="K3" s="160"/>
      <c r="L3" s="160"/>
      <c r="M3" s="160"/>
      <c r="N3" s="160"/>
      <c r="O3" s="160"/>
      <c r="P3" s="160"/>
      <c r="Q3" s="160"/>
      <c r="R3" s="160"/>
      <c r="S3" s="160"/>
      <c r="T3" s="160"/>
      <c r="U3" s="160"/>
      <c r="V3" s="160"/>
      <c r="W3" s="160"/>
      <c r="X3" s="160"/>
      <c r="Y3" s="160"/>
      <c r="Z3" s="160"/>
      <c r="AA3" s="160"/>
      <c r="AB3" s="160"/>
      <c r="AC3" s="161" t="s">
        <v>2</v>
      </c>
      <c r="AD3" s="160"/>
      <c r="AE3" s="160"/>
      <c r="AF3" s="160"/>
      <c r="AG3" s="160"/>
      <c r="AH3" s="160"/>
      <c r="AI3" s="160"/>
      <c r="AJ3" s="160"/>
      <c r="AK3" s="160"/>
      <c r="AL3" s="160"/>
      <c r="AM3" s="161" t="s">
        <v>2</v>
      </c>
      <c r="AN3" s="162"/>
      <c r="AO3" s="162"/>
      <c r="AP3" s="163"/>
      <c r="AQ3" s="57"/>
      <c r="AR3" s="57"/>
      <c r="AV3" s="6"/>
      <c r="AW3" s="6"/>
    </row>
    <row r="4" spans="1:56" ht="23.5" customHeight="1">
      <c r="A4" s="3"/>
      <c r="B4" s="144"/>
      <c r="C4" s="160"/>
      <c r="D4" s="160"/>
      <c r="E4" s="160"/>
      <c r="F4" s="160"/>
      <c r="G4" s="160"/>
      <c r="H4" s="160"/>
      <c r="I4" s="160"/>
      <c r="J4" s="160"/>
      <c r="K4" s="160"/>
      <c r="L4" s="160"/>
      <c r="M4" s="160"/>
      <c r="N4" s="160"/>
      <c r="O4" s="160"/>
      <c r="P4" s="160"/>
      <c r="Q4" s="160"/>
      <c r="R4" s="160"/>
      <c r="S4" s="160"/>
      <c r="T4" s="160"/>
      <c r="U4" s="160"/>
      <c r="V4" s="160"/>
      <c r="W4" s="160"/>
      <c r="X4" s="160"/>
      <c r="Y4" s="160"/>
      <c r="Z4" s="160"/>
      <c r="AA4" s="160"/>
      <c r="AB4" s="160"/>
      <c r="AC4" s="164" t="s">
        <v>3</v>
      </c>
      <c r="AD4" s="160"/>
      <c r="AE4" s="160"/>
      <c r="AF4" s="160"/>
      <c r="AG4" s="160"/>
      <c r="AH4" s="160"/>
      <c r="AI4" s="160"/>
      <c r="AJ4" s="160"/>
      <c r="AK4" s="160"/>
      <c r="AL4" s="160"/>
      <c r="AM4" s="164" t="s">
        <v>3</v>
      </c>
      <c r="AN4" s="165"/>
      <c r="AO4" s="165"/>
      <c r="AP4" s="166"/>
      <c r="AQ4" s="57"/>
      <c r="AR4" s="57"/>
      <c r="AV4" s="6"/>
      <c r="AW4" s="6"/>
    </row>
    <row r="5" spans="1:56" ht="18">
      <c r="A5" s="3"/>
      <c r="B5" s="4" t="s">
        <v>4</v>
      </c>
      <c r="C5" s="5" t="s">
        <v>5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6" ht="18">
      <c r="A6" s="3"/>
      <c r="B6" s="4" t="s">
        <v>6</v>
      </c>
      <c r="C6" s="5" t="s">
        <v>7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6" ht="18">
      <c r="A7" s="3"/>
      <c r="B7" s="6" t="s">
        <v>8</v>
      </c>
      <c r="C7" s="107" t="s">
        <v>69</v>
      </c>
      <c r="D7" s="107"/>
      <c r="E7" s="107"/>
      <c r="F7" s="107"/>
      <c r="G7" s="107"/>
      <c r="H7" s="107"/>
      <c r="I7" s="107"/>
      <c r="J7" s="107"/>
      <c r="K7" s="107"/>
      <c r="L7" s="107"/>
      <c r="M7" s="107"/>
      <c r="N7" s="107"/>
      <c r="O7" s="107"/>
      <c r="P7" s="107"/>
      <c r="Q7" s="107"/>
      <c r="R7" s="107"/>
      <c r="S7" s="107"/>
      <c r="T7" s="107"/>
      <c r="U7" s="107"/>
      <c r="V7" s="107"/>
      <c r="W7" s="107"/>
      <c r="X7" s="107"/>
      <c r="Y7" s="107"/>
      <c r="Z7" s="107"/>
      <c r="AA7" s="107"/>
      <c r="AB7" s="107"/>
      <c r="AC7" s="107"/>
      <c r="AD7" s="107"/>
      <c r="AE7" s="107"/>
      <c r="AF7" s="107"/>
      <c r="AG7" s="107"/>
      <c r="AH7" s="107"/>
      <c r="AI7" s="107"/>
      <c r="AJ7" s="107"/>
      <c r="AK7" s="107"/>
      <c r="AL7" s="107"/>
      <c r="AM7" s="107"/>
      <c r="AN7" s="107"/>
      <c r="AO7" s="107"/>
      <c r="AP7" s="107"/>
      <c r="AQ7" s="107"/>
      <c r="AR7" s="107"/>
      <c r="AS7" s="107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6" ht="15.5">
      <c r="A8" s="7"/>
      <c r="B8" s="151" t="s">
        <v>9</v>
      </c>
      <c r="C8" s="151"/>
      <c r="D8" s="151"/>
      <c r="E8" s="151"/>
      <c r="F8" s="151"/>
      <c r="G8" s="151"/>
      <c r="H8" s="151"/>
      <c r="I8" s="151"/>
      <c r="J8" s="151"/>
      <c r="K8" s="151"/>
      <c r="L8" s="151"/>
      <c r="M8" s="151"/>
      <c r="N8" s="151"/>
      <c r="O8" s="151"/>
      <c r="P8" s="151"/>
      <c r="Q8" s="151"/>
      <c r="R8" s="151"/>
      <c r="S8" s="151"/>
      <c r="T8" s="151"/>
      <c r="U8" s="151"/>
      <c r="V8" s="151"/>
      <c r="W8" s="151"/>
      <c r="X8" s="151"/>
      <c r="Y8" s="151"/>
      <c r="Z8" s="151"/>
      <c r="AA8" s="151"/>
      <c r="AB8" s="151"/>
      <c r="AC8" s="151"/>
      <c r="AD8" s="151"/>
      <c r="AE8" s="151"/>
      <c r="AF8" s="151"/>
      <c r="AG8" s="151"/>
      <c r="AH8" s="151"/>
      <c r="AI8" s="151"/>
      <c r="AJ8" s="151"/>
      <c r="AK8" s="151"/>
      <c r="AL8" s="151"/>
      <c r="AM8" s="151"/>
      <c r="AN8" s="151"/>
      <c r="AO8" s="151"/>
      <c r="AP8" s="151"/>
      <c r="AQ8" s="98"/>
      <c r="AR8" s="98"/>
      <c r="AS8" s="98"/>
      <c r="AT8" s="98"/>
      <c r="AU8" s="98"/>
      <c r="AV8" s="7"/>
      <c r="AW8" s="7"/>
      <c r="AX8" s="7"/>
      <c r="AY8" s="7"/>
      <c r="AZ8" s="7"/>
      <c r="BA8" s="7"/>
      <c r="BB8" s="7"/>
      <c r="BC8" s="7"/>
      <c r="BD8" s="7"/>
    </row>
    <row r="9" spans="1:56" ht="18.75" customHeight="1">
      <c r="A9" s="3"/>
      <c r="B9" s="145" t="s">
        <v>10</v>
      </c>
      <c r="C9" s="9">
        <v>1</v>
      </c>
      <c r="D9" s="9">
        <v>2</v>
      </c>
      <c r="E9" s="149" t="s">
        <v>11</v>
      </c>
      <c r="F9" s="25">
        <v>3</v>
      </c>
      <c r="G9" s="9">
        <v>4</v>
      </c>
      <c r="H9" s="9">
        <v>5</v>
      </c>
      <c r="I9" s="9">
        <v>6</v>
      </c>
      <c r="J9" s="9">
        <v>7</v>
      </c>
      <c r="K9" s="9">
        <v>8</v>
      </c>
      <c r="L9" s="9">
        <v>9</v>
      </c>
      <c r="M9" s="155" t="s">
        <v>11</v>
      </c>
      <c r="N9" s="25">
        <v>10</v>
      </c>
      <c r="O9" s="9">
        <v>11</v>
      </c>
      <c r="P9" s="9">
        <v>12</v>
      </c>
      <c r="Q9" s="9">
        <v>13</v>
      </c>
      <c r="R9" s="9">
        <v>14</v>
      </c>
      <c r="S9" s="9">
        <v>15</v>
      </c>
      <c r="T9" s="9">
        <v>16</v>
      </c>
      <c r="U9" s="149" t="s">
        <v>11</v>
      </c>
      <c r="V9" s="9">
        <v>17</v>
      </c>
      <c r="W9" s="9">
        <v>18</v>
      </c>
      <c r="X9" s="9">
        <v>19</v>
      </c>
      <c r="Y9" s="8">
        <v>20</v>
      </c>
      <c r="Z9" s="9">
        <v>21</v>
      </c>
      <c r="AA9" s="8">
        <v>22</v>
      </c>
      <c r="AB9" s="8">
        <v>23</v>
      </c>
      <c r="AC9" s="149" t="s">
        <v>11</v>
      </c>
      <c r="AD9" s="8">
        <v>24</v>
      </c>
      <c r="AE9" s="8">
        <v>25</v>
      </c>
      <c r="AF9" s="8">
        <v>26</v>
      </c>
      <c r="AG9" s="8">
        <v>27</v>
      </c>
      <c r="AH9" s="8">
        <v>28</v>
      </c>
      <c r="AI9" s="8">
        <v>29</v>
      </c>
      <c r="AJ9" s="8">
        <v>30</v>
      </c>
      <c r="AK9" s="149" t="s">
        <v>11</v>
      </c>
      <c r="AL9" s="8">
        <v>31</v>
      </c>
      <c r="AM9" s="149" t="s">
        <v>11</v>
      </c>
      <c r="AN9" s="157" t="s">
        <v>12</v>
      </c>
      <c r="AO9" s="191" t="s">
        <v>13</v>
      </c>
      <c r="AP9" s="168"/>
      <c r="AQ9" s="3"/>
      <c r="AR9" s="3"/>
      <c r="AS9" s="3"/>
      <c r="AT9" s="3"/>
      <c r="AU9" s="3"/>
      <c r="AV9" s="3"/>
      <c r="AW9" s="3"/>
      <c r="AX9" s="3"/>
      <c r="AY9" s="3"/>
    </row>
    <row r="10" spans="1:56" ht="15" customHeight="1">
      <c r="A10" s="3"/>
      <c r="B10" s="146"/>
      <c r="C10" s="10" t="s">
        <v>17</v>
      </c>
      <c r="D10" s="10" t="s">
        <v>18</v>
      </c>
      <c r="E10" s="150"/>
      <c r="F10" s="25" t="s">
        <v>19</v>
      </c>
      <c r="G10" s="10" t="s">
        <v>14</v>
      </c>
      <c r="H10" s="10" t="s">
        <v>14</v>
      </c>
      <c r="I10" s="10" t="s">
        <v>15</v>
      </c>
      <c r="J10" s="10" t="s">
        <v>16</v>
      </c>
      <c r="K10" s="10" t="s">
        <v>17</v>
      </c>
      <c r="L10" s="10" t="s">
        <v>18</v>
      </c>
      <c r="M10" s="156"/>
      <c r="N10" s="25" t="s">
        <v>19</v>
      </c>
      <c r="O10" s="10" t="s">
        <v>14</v>
      </c>
      <c r="P10" s="10" t="s">
        <v>14</v>
      </c>
      <c r="Q10" s="10" t="s">
        <v>15</v>
      </c>
      <c r="R10" s="10" t="s">
        <v>16</v>
      </c>
      <c r="S10" s="10" t="s">
        <v>17</v>
      </c>
      <c r="T10" s="10" t="s">
        <v>18</v>
      </c>
      <c r="U10" s="150"/>
      <c r="V10" s="10" t="s">
        <v>19</v>
      </c>
      <c r="W10" s="10" t="s">
        <v>14</v>
      </c>
      <c r="X10" s="10" t="s">
        <v>14</v>
      </c>
      <c r="Y10" s="10" t="s">
        <v>15</v>
      </c>
      <c r="Z10" s="10" t="s">
        <v>16</v>
      </c>
      <c r="AA10" s="10" t="s">
        <v>17</v>
      </c>
      <c r="AB10" s="10" t="s">
        <v>18</v>
      </c>
      <c r="AC10" s="150"/>
      <c r="AD10" s="10" t="s">
        <v>19</v>
      </c>
      <c r="AE10" s="10" t="s">
        <v>14</v>
      </c>
      <c r="AF10" s="10" t="s">
        <v>14</v>
      </c>
      <c r="AG10" s="10" t="s">
        <v>15</v>
      </c>
      <c r="AH10" s="10" t="s">
        <v>16</v>
      </c>
      <c r="AI10" s="10" t="s">
        <v>17</v>
      </c>
      <c r="AJ10" s="10" t="s">
        <v>18</v>
      </c>
      <c r="AK10" s="150"/>
      <c r="AL10" s="10" t="s">
        <v>19</v>
      </c>
      <c r="AM10" s="150"/>
      <c r="AN10" s="158"/>
      <c r="AO10" s="144"/>
      <c r="AP10" s="150"/>
      <c r="AQ10" s="3"/>
      <c r="AR10" s="3"/>
      <c r="AS10" s="3"/>
      <c r="AT10" s="3"/>
      <c r="AU10" s="3"/>
      <c r="AV10" s="3"/>
      <c r="AW10" s="3"/>
      <c r="AX10" s="3"/>
      <c r="AY10" s="3"/>
    </row>
    <row r="11" spans="1:56" s="1" customFormat="1" ht="19.5" customHeight="1">
      <c r="A11" s="11"/>
      <c r="B11" s="106" t="s">
        <v>21</v>
      </c>
      <c r="C11" s="91" t="s">
        <v>20</v>
      </c>
      <c r="D11" s="91" t="s">
        <v>19</v>
      </c>
      <c r="E11" s="91"/>
      <c r="F11" s="93" t="s">
        <v>19</v>
      </c>
      <c r="G11" s="13" t="s">
        <v>18</v>
      </c>
      <c r="H11" s="13" t="s">
        <v>20</v>
      </c>
      <c r="I11" s="13" t="s">
        <v>19</v>
      </c>
      <c r="J11" s="13" t="s">
        <v>19</v>
      </c>
      <c r="K11" s="13" t="s">
        <v>18</v>
      </c>
      <c r="L11" s="13" t="s">
        <v>20</v>
      </c>
      <c r="M11" s="13"/>
      <c r="N11" s="13" t="s">
        <v>19</v>
      </c>
      <c r="O11" s="13" t="s">
        <v>19</v>
      </c>
      <c r="P11" s="13" t="s">
        <v>18</v>
      </c>
      <c r="Q11" s="13" t="s">
        <v>20</v>
      </c>
      <c r="R11" s="13" t="s">
        <v>19</v>
      </c>
      <c r="S11" s="13" t="s">
        <v>19</v>
      </c>
      <c r="T11" s="13" t="s">
        <v>18</v>
      </c>
      <c r="U11" s="13"/>
      <c r="V11" s="13" t="s">
        <v>20</v>
      </c>
      <c r="W11" s="13" t="s">
        <v>19</v>
      </c>
      <c r="X11" s="13" t="s">
        <v>14</v>
      </c>
      <c r="Y11" s="13" t="s">
        <v>18</v>
      </c>
      <c r="Z11" s="13" t="s">
        <v>20</v>
      </c>
      <c r="AA11" s="13" t="s">
        <v>19</v>
      </c>
      <c r="AB11" s="13" t="s">
        <v>19</v>
      </c>
      <c r="AC11" s="13"/>
      <c r="AD11" s="13" t="s">
        <v>18</v>
      </c>
      <c r="AE11" s="13" t="s">
        <v>20</v>
      </c>
      <c r="AF11" s="13" t="s">
        <v>19</v>
      </c>
      <c r="AG11" s="13" t="s">
        <v>19</v>
      </c>
      <c r="AH11" s="13" t="s">
        <v>18</v>
      </c>
      <c r="AI11" s="13" t="s">
        <v>20</v>
      </c>
      <c r="AJ11" s="13" t="s">
        <v>19</v>
      </c>
      <c r="AK11" s="13"/>
      <c r="AL11" s="13" t="s">
        <v>19</v>
      </c>
      <c r="AM11" s="13"/>
      <c r="AN11" s="84"/>
      <c r="AO11" s="85"/>
      <c r="AP11" s="86"/>
      <c r="AQ11" s="11"/>
      <c r="AR11" s="11"/>
      <c r="AS11" s="11"/>
      <c r="AT11" s="11"/>
      <c r="AU11" s="11"/>
      <c r="AV11" s="11"/>
      <c r="AW11" s="11"/>
      <c r="AX11" s="11"/>
      <c r="AY11" s="11"/>
    </row>
    <row r="12" spans="1:56" s="1" customFormat="1" ht="19.5" customHeight="1">
      <c r="A12" s="11"/>
      <c r="B12" s="106" t="s">
        <v>71</v>
      </c>
      <c r="C12" s="91" t="s">
        <v>19</v>
      </c>
      <c r="D12" s="91" t="s">
        <v>19</v>
      </c>
      <c r="E12" s="92"/>
      <c r="F12" s="93" t="s">
        <v>18</v>
      </c>
      <c r="G12" s="13" t="s">
        <v>20</v>
      </c>
      <c r="H12" s="13" t="s">
        <v>19</v>
      </c>
      <c r="I12" s="13" t="s">
        <v>19</v>
      </c>
      <c r="J12" s="13" t="s">
        <v>18</v>
      </c>
      <c r="K12" s="13" t="s">
        <v>20</v>
      </c>
      <c r="L12" s="13" t="s">
        <v>19</v>
      </c>
      <c r="M12" s="14"/>
      <c r="N12" s="13" t="s">
        <v>19</v>
      </c>
      <c r="O12" s="13" t="s">
        <v>18</v>
      </c>
      <c r="P12" s="13" t="s">
        <v>20</v>
      </c>
      <c r="Q12" s="13" t="s">
        <v>19</v>
      </c>
      <c r="R12" s="13" t="s">
        <v>19</v>
      </c>
      <c r="S12" s="13" t="s">
        <v>18</v>
      </c>
      <c r="T12" s="13" t="s">
        <v>20</v>
      </c>
      <c r="U12" s="14"/>
      <c r="V12" s="13" t="s">
        <v>19</v>
      </c>
      <c r="W12" s="13" t="s">
        <v>19</v>
      </c>
      <c r="X12" s="13" t="s">
        <v>18</v>
      </c>
      <c r="Y12" s="13" t="s">
        <v>20</v>
      </c>
      <c r="Z12" s="13" t="s">
        <v>19</v>
      </c>
      <c r="AA12" s="13" t="s">
        <v>19</v>
      </c>
      <c r="AB12" s="13" t="s">
        <v>18</v>
      </c>
      <c r="AC12" s="14"/>
      <c r="AD12" s="13" t="s">
        <v>20</v>
      </c>
      <c r="AE12" s="13" t="s">
        <v>19</v>
      </c>
      <c r="AF12" s="13" t="s">
        <v>19</v>
      </c>
      <c r="AG12" s="13" t="s">
        <v>18</v>
      </c>
      <c r="AH12" s="13" t="s">
        <v>20</v>
      </c>
      <c r="AI12" s="13" t="s">
        <v>19</v>
      </c>
      <c r="AJ12" s="13" t="s">
        <v>19</v>
      </c>
      <c r="AK12" s="14"/>
      <c r="AL12" s="13" t="s">
        <v>18</v>
      </c>
      <c r="AM12" s="14"/>
      <c r="AN12" s="84"/>
      <c r="AO12" s="85"/>
      <c r="AP12" s="86"/>
      <c r="AQ12" s="11"/>
      <c r="AR12" s="11"/>
      <c r="AS12" s="11"/>
      <c r="AT12" s="11"/>
      <c r="AU12" s="11"/>
      <c r="AV12" s="11"/>
      <c r="AW12" s="11"/>
      <c r="AX12" s="11"/>
      <c r="AY12" s="11"/>
    </row>
    <row r="13" spans="1:56" ht="15.5">
      <c r="A13" s="61"/>
      <c r="B13" s="63" t="s">
        <v>65</v>
      </c>
      <c r="C13" s="91" t="s">
        <v>18</v>
      </c>
      <c r="D13" s="91" t="s">
        <v>20</v>
      </c>
      <c r="E13" s="92"/>
      <c r="F13" s="93" t="s">
        <v>19</v>
      </c>
      <c r="G13" s="13" t="s">
        <v>19</v>
      </c>
      <c r="H13" s="13" t="s">
        <v>18</v>
      </c>
      <c r="I13" s="13" t="s">
        <v>20</v>
      </c>
      <c r="J13" s="13" t="s">
        <v>19</v>
      </c>
      <c r="K13" s="13" t="s">
        <v>19</v>
      </c>
      <c r="L13" s="13" t="s">
        <v>18</v>
      </c>
      <c r="M13" s="14"/>
      <c r="N13" s="13" t="s">
        <v>20</v>
      </c>
      <c r="O13" s="13" t="s">
        <v>19</v>
      </c>
      <c r="P13" s="13" t="s">
        <v>19</v>
      </c>
      <c r="Q13" s="13" t="s">
        <v>18</v>
      </c>
      <c r="R13" s="13" t="s">
        <v>20</v>
      </c>
      <c r="S13" s="13" t="s">
        <v>19</v>
      </c>
      <c r="T13" s="13" t="s">
        <v>19</v>
      </c>
      <c r="U13" s="14"/>
      <c r="V13" s="13" t="s">
        <v>18</v>
      </c>
      <c r="W13" s="13" t="s">
        <v>20</v>
      </c>
      <c r="X13" s="13" t="s">
        <v>19</v>
      </c>
      <c r="Y13" s="13" t="s">
        <v>19</v>
      </c>
      <c r="Z13" s="13" t="s">
        <v>18</v>
      </c>
      <c r="AA13" s="13" t="s">
        <v>20</v>
      </c>
      <c r="AB13" s="13" t="s">
        <v>19</v>
      </c>
      <c r="AC13" s="14"/>
      <c r="AD13" s="13" t="s">
        <v>19</v>
      </c>
      <c r="AE13" s="13" t="s">
        <v>18</v>
      </c>
      <c r="AF13" s="13" t="s">
        <v>20</v>
      </c>
      <c r="AG13" s="13" t="s">
        <v>19</v>
      </c>
      <c r="AH13" s="13" t="s">
        <v>19</v>
      </c>
      <c r="AI13" s="13" t="s">
        <v>18</v>
      </c>
      <c r="AJ13" s="13" t="s">
        <v>20</v>
      </c>
      <c r="AK13" s="14"/>
      <c r="AL13" s="13" t="s">
        <v>19</v>
      </c>
      <c r="AM13" s="14"/>
      <c r="AN13" s="56"/>
      <c r="AO13" s="97"/>
      <c r="AP13" s="88"/>
      <c r="AQ13" s="61"/>
      <c r="AS13" s="171"/>
      <c r="AT13" s="137"/>
      <c r="AU13" s="137"/>
      <c r="AV13" s="137"/>
      <c r="AW13" s="137"/>
      <c r="AX13" s="137"/>
      <c r="AY13" s="137"/>
    </row>
    <row r="14" spans="1:56" ht="19.5" customHeight="1">
      <c r="A14" s="61"/>
      <c r="B14" s="63" t="s">
        <v>23</v>
      </c>
      <c r="C14" s="91" t="s">
        <v>19</v>
      </c>
      <c r="D14" s="91" t="s">
        <v>18</v>
      </c>
      <c r="E14" s="91"/>
      <c r="F14" s="93" t="s">
        <v>20</v>
      </c>
      <c r="G14" s="13" t="s">
        <v>19</v>
      </c>
      <c r="H14" s="13" t="s">
        <v>19</v>
      </c>
      <c r="I14" s="13" t="s">
        <v>18</v>
      </c>
      <c r="J14" s="13" t="s">
        <v>20</v>
      </c>
      <c r="K14" s="13" t="s">
        <v>19</v>
      </c>
      <c r="L14" s="13" t="s">
        <v>19</v>
      </c>
      <c r="M14" s="13"/>
      <c r="N14" s="13" t="s">
        <v>18</v>
      </c>
      <c r="O14" s="13" t="s">
        <v>20</v>
      </c>
      <c r="P14" s="13" t="s">
        <v>19</v>
      </c>
      <c r="Q14" s="13" t="s">
        <v>19</v>
      </c>
      <c r="R14" s="13" t="s">
        <v>18</v>
      </c>
      <c r="S14" s="13" t="s">
        <v>20</v>
      </c>
      <c r="T14" s="13" t="s">
        <v>19</v>
      </c>
      <c r="U14" s="13"/>
      <c r="V14" s="13" t="s">
        <v>19</v>
      </c>
      <c r="W14" s="13" t="s">
        <v>18</v>
      </c>
      <c r="X14" s="13" t="s">
        <v>20</v>
      </c>
      <c r="Y14" s="13" t="s">
        <v>19</v>
      </c>
      <c r="Z14" s="13" t="s">
        <v>19</v>
      </c>
      <c r="AA14" s="13" t="s">
        <v>18</v>
      </c>
      <c r="AB14" s="13" t="s">
        <v>20</v>
      </c>
      <c r="AC14" s="13"/>
      <c r="AD14" s="13" t="s">
        <v>19</v>
      </c>
      <c r="AE14" s="13" t="s">
        <v>19</v>
      </c>
      <c r="AF14" s="13" t="s">
        <v>18</v>
      </c>
      <c r="AG14" s="13" t="s">
        <v>20</v>
      </c>
      <c r="AH14" s="13" t="s">
        <v>19</v>
      </c>
      <c r="AI14" s="13" t="s">
        <v>19</v>
      </c>
      <c r="AJ14" s="13" t="s">
        <v>18</v>
      </c>
      <c r="AK14" s="13"/>
      <c r="AL14" s="13" t="s">
        <v>20</v>
      </c>
      <c r="AM14" s="13"/>
      <c r="AN14" s="56"/>
      <c r="AO14" s="97"/>
      <c r="AP14" s="88"/>
      <c r="AQ14" s="61"/>
      <c r="AR14" s="61"/>
      <c r="AS14" s="61"/>
    </row>
    <row r="15" spans="1:56" ht="15.5">
      <c r="A15" s="15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59"/>
      <c r="AO15" s="59"/>
      <c r="AP15" s="59"/>
      <c r="AQ15" s="15"/>
      <c r="AR15" s="15"/>
      <c r="AS15" s="15"/>
      <c r="AT15" s="15"/>
      <c r="AU15" s="15"/>
      <c r="AV15" s="15"/>
      <c r="AW15" s="15"/>
      <c r="AX15" s="15"/>
      <c r="AY15" s="15"/>
    </row>
    <row r="16" spans="1:56" ht="15.5">
      <c r="A16" s="15"/>
      <c r="B16" s="154" t="s">
        <v>9</v>
      </c>
      <c r="C16" s="154"/>
      <c r="D16" s="154"/>
      <c r="E16" s="154"/>
      <c r="F16" s="154"/>
      <c r="G16" s="154"/>
      <c r="H16" s="154"/>
      <c r="I16" s="154"/>
      <c r="J16" s="154"/>
      <c r="K16" s="154"/>
      <c r="L16" s="154"/>
      <c r="M16" s="154"/>
      <c r="N16" s="154"/>
      <c r="O16" s="154"/>
      <c r="P16" s="154"/>
      <c r="Q16" s="154"/>
      <c r="R16" s="154"/>
      <c r="S16" s="154"/>
      <c r="T16" s="154"/>
      <c r="U16" s="154"/>
      <c r="V16" s="154"/>
      <c r="W16" s="154"/>
      <c r="X16" s="154"/>
      <c r="Y16" s="154"/>
      <c r="Z16" s="154"/>
      <c r="AA16" s="154"/>
      <c r="AB16" s="154"/>
      <c r="AC16" s="154"/>
      <c r="AD16" s="154"/>
      <c r="AE16" s="154"/>
      <c r="AF16" s="154"/>
      <c r="AG16" s="154"/>
      <c r="AH16" s="154"/>
      <c r="AI16" s="154"/>
      <c r="AJ16" s="154"/>
      <c r="AK16" s="154"/>
      <c r="AL16" s="154"/>
      <c r="AM16" s="154"/>
      <c r="AN16" s="154"/>
      <c r="AO16" s="154"/>
      <c r="AP16" s="154"/>
      <c r="AQ16" s="1"/>
      <c r="AR16" s="1"/>
      <c r="AS16" s="1"/>
      <c r="AT16" s="1"/>
      <c r="AU16" s="1"/>
      <c r="AV16" s="15"/>
      <c r="AW16" s="15"/>
      <c r="AX16" s="15"/>
      <c r="AY16" s="15"/>
      <c r="AZ16" s="15"/>
      <c r="BA16" s="15"/>
      <c r="BB16" s="15"/>
      <c r="BC16" s="15"/>
      <c r="BD16" s="15"/>
    </row>
    <row r="17" spans="1:47" ht="18.75" customHeight="1">
      <c r="A17" s="3"/>
      <c r="B17" s="147" t="str">
        <f>+B9</f>
        <v>NOMBRE</v>
      </c>
      <c r="C17" s="9">
        <v>4</v>
      </c>
      <c r="D17" s="9">
        <v>5</v>
      </c>
      <c r="E17" s="149" t="s">
        <v>11</v>
      </c>
      <c r="F17" s="25">
        <v>3</v>
      </c>
      <c r="G17" s="9">
        <v>4</v>
      </c>
      <c r="H17" s="9">
        <v>5</v>
      </c>
      <c r="I17" s="9">
        <v>6</v>
      </c>
      <c r="J17" s="9">
        <v>7</v>
      </c>
      <c r="K17" s="9">
        <v>8</v>
      </c>
      <c r="L17" s="9">
        <v>9</v>
      </c>
      <c r="M17" s="155" t="s">
        <v>11</v>
      </c>
      <c r="N17" s="25">
        <v>10</v>
      </c>
      <c r="O17" s="9">
        <v>11</v>
      </c>
      <c r="P17" s="9">
        <v>12</v>
      </c>
      <c r="Q17" s="9">
        <v>13</v>
      </c>
      <c r="R17" s="9">
        <v>14</v>
      </c>
      <c r="S17" s="9">
        <v>15</v>
      </c>
      <c r="T17" s="9">
        <v>16</v>
      </c>
      <c r="U17" s="149" t="s">
        <v>11</v>
      </c>
      <c r="V17" s="9">
        <v>20</v>
      </c>
      <c r="W17" s="9">
        <v>21</v>
      </c>
      <c r="X17" s="9">
        <v>22</v>
      </c>
      <c r="Y17" s="8">
        <v>23</v>
      </c>
      <c r="Z17" s="9">
        <v>24</v>
      </c>
      <c r="AA17" s="8">
        <v>25</v>
      </c>
      <c r="AB17" s="8">
        <v>26</v>
      </c>
      <c r="AC17" s="149" t="s">
        <v>11</v>
      </c>
      <c r="AD17" s="8">
        <v>24</v>
      </c>
      <c r="AE17" s="8">
        <v>25</v>
      </c>
      <c r="AF17" s="8">
        <v>26</v>
      </c>
      <c r="AG17" s="8">
        <v>27</v>
      </c>
      <c r="AH17" s="8">
        <v>28</v>
      </c>
      <c r="AI17" s="8">
        <v>29</v>
      </c>
      <c r="AJ17" s="8">
        <v>30</v>
      </c>
      <c r="AK17" s="149" t="s">
        <v>11</v>
      </c>
      <c r="AL17" s="8">
        <v>31</v>
      </c>
      <c r="AM17" s="149" t="s">
        <v>11</v>
      </c>
      <c r="AN17" s="157" t="s">
        <v>12</v>
      </c>
      <c r="AO17" s="167" t="s">
        <v>24</v>
      </c>
      <c r="AP17" s="168"/>
    </row>
    <row r="18" spans="1:47" ht="13" customHeight="1">
      <c r="A18" s="3"/>
      <c r="B18" s="148"/>
      <c r="C18" s="10" t="s">
        <v>17</v>
      </c>
      <c r="D18" s="10" t="s">
        <v>18</v>
      </c>
      <c r="E18" s="150"/>
      <c r="F18" s="25" t="s">
        <v>19</v>
      </c>
      <c r="G18" s="10" t="s">
        <v>14</v>
      </c>
      <c r="H18" s="10" t="s">
        <v>14</v>
      </c>
      <c r="I18" s="10" t="s">
        <v>15</v>
      </c>
      <c r="J18" s="10" t="s">
        <v>16</v>
      </c>
      <c r="K18" s="10" t="s">
        <v>17</v>
      </c>
      <c r="L18" s="10" t="s">
        <v>18</v>
      </c>
      <c r="M18" s="156"/>
      <c r="N18" s="25" t="s">
        <v>19</v>
      </c>
      <c r="O18" s="10" t="s">
        <v>14</v>
      </c>
      <c r="P18" s="10" t="s">
        <v>14</v>
      </c>
      <c r="Q18" s="10" t="s">
        <v>15</v>
      </c>
      <c r="R18" s="10" t="s">
        <v>16</v>
      </c>
      <c r="S18" s="10" t="s">
        <v>17</v>
      </c>
      <c r="T18" s="10" t="s">
        <v>18</v>
      </c>
      <c r="U18" s="150"/>
      <c r="V18" s="10" t="s">
        <v>19</v>
      </c>
      <c r="W18" s="10" t="s">
        <v>14</v>
      </c>
      <c r="X18" s="10" t="s">
        <v>14</v>
      </c>
      <c r="Y18" s="10" t="s">
        <v>15</v>
      </c>
      <c r="Z18" s="10" t="s">
        <v>16</v>
      </c>
      <c r="AA18" s="10" t="s">
        <v>17</v>
      </c>
      <c r="AB18" s="10" t="s">
        <v>18</v>
      </c>
      <c r="AC18" s="150"/>
      <c r="AD18" s="10" t="s">
        <v>19</v>
      </c>
      <c r="AE18" s="10" t="s">
        <v>14</v>
      </c>
      <c r="AF18" s="10" t="s">
        <v>14</v>
      </c>
      <c r="AG18" s="10" t="s">
        <v>15</v>
      </c>
      <c r="AH18" s="10" t="s">
        <v>16</v>
      </c>
      <c r="AI18" s="10" t="s">
        <v>17</v>
      </c>
      <c r="AJ18" s="10" t="s">
        <v>18</v>
      </c>
      <c r="AK18" s="150"/>
      <c r="AL18" s="10" t="s">
        <v>16</v>
      </c>
      <c r="AM18" s="150"/>
      <c r="AN18" s="158"/>
      <c r="AO18" s="144"/>
      <c r="AP18" s="150"/>
    </row>
    <row r="19" spans="1:47" ht="16.5" customHeight="1">
      <c r="A19" s="15"/>
      <c r="B19" s="106" t="s">
        <v>21</v>
      </c>
      <c r="C19" s="16">
        <f t="shared" ref="C19:D22" si="0">VLOOKUP(C11,$O$30:$AC$35,14,0)</f>
        <v>11</v>
      </c>
      <c r="D19" s="16">
        <f t="shared" si="0"/>
        <v>0</v>
      </c>
      <c r="E19" s="17">
        <f>SUM(C19:D19)</f>
        <v>11</v>
      </c>
      <c r="F19" s="95">
        <f t="shared" ref="F19:L22" si="1">VLOOKUP(F11,$O$30:$AC$35,14,0)</f>
        <v>0</v>
      </c>
      <c r="G19" s="16">
        <f t="shared" si="1"/>
        <v>11</v>
      </c>
      <c r="H19" s="16">
        <f t="shared" si="1"/>
        <v>11</v>
      </c>
      <c r="I19" s="16">
        <f t="shared" si="1"/>
        <v>0</v>
      </c>
      <c r="J19" s="16">
        <f t="shared" si="1"/>
        <v>0</v>
      </c>
      <c r="K19" s="16">
        <f t="shared" si="1"/>
        <v>11</v>
      </c>
      <c r="L19" s="16">
        <f t="shared" si="1"/>
        <v>11</v>
      </c>
      <c r="M19" s="17">
        <f>SUM(F19:L19)</f>
        <v>44</v>
      </c>
      <c r="N19" s="16">
        <f t="shared" ref="N19:T22" si="2">VLOOKUP(N11,$O$30:$AC$35,14,0)</f>
        <v>0</v>
      </c>
      <c r="O19" s="16">
        <f t="shared" si="2"/>
        <v>0</v>
      </c>
      <c r="P19" s="16">
        <f t="shared" si="2"/>
        <v>11</v>
      </c>
      <c r="Q19" s="16">
        <f t="shared" si="2"/>
        <v>11</v>
      </c>
      <c r="R19" s="16">
        <f t="shared" si="2"/>
        <v>0</v>
      </c>
      <c r="S19" s="16">
        <f t="shared" si="2"/>
        <v>0</v>
      </c>
      <c r="T19" s="16">
        <f t="shared" si="2"/>
        <v>11</v>
      </c>
      <c r="U19" s="17">
        <f>SUM(N19:T19)</f>
        <v>33</v>
      </c>
      <c r="V19" s="16">
        <f t="shared" ref="V19:Z22" si="3">VLOOKUP(V11,$O$30:$AC$35,14,0)</f>
        <v>11</v>
      </c>
      <c r="W19" s="16">
        <f t="shared" si="3"/>
        <v>0</v>
      </c>
      <c r="X19" s="16">
        <f t="shared" si="3"/>
        <v>5</v>
      </c>
      <c r="Y19" s="16">
        <f t="shared" si="3"/>
        <v>11</v>
      </c>
      <c r="Z19" s="16">
        <f t="shared" si="3"/>
        <v>11</v>
      </c>
      <c r="AA19" s="16">
        <f t="shared" ref="AA19:AA22" si="4">VLOOKUP(AA11,$O$30:$AC$35,14,0)</f>
        <v>0</v>
      </c>
      <c r="AB19" s="16">
        <f t="shared" ref="AB19:AI19" si="5">VLOOKUP(AB11,$O$30:$AC$35,14,0)</f>
        <v>0</v>
      </c>
      <c r="AC19" s="17">
        <f>SUM(V19:AB19)</f>
        <v>38</v>
      </c>
      <c r="AD19" s="16">
        <f t="shared" si="5"/>
        <v>11</v>
      </c>
      <c r="AE19" s="16">
        <f t="shared" si="5"/>
        <v>11</v>
      </c>
      <c r="AF19" s="16">
        <f t="shared" ref="AB19:AI22" si="6">VLOOKUP(AF11,$O$30:$AC$35,14,0)</f>
        <v>0</v>
      </c>
      <c r="AG19" s="16">
        <f t="shared" si="6"/>
        <v>0</v>
      </c>
      <c r="AH19" s="16">
        <f t="shared" ref="AH19" si="7">VLOOKUP(AH11,$O$30:$AC$35,14,0)</f>
        <v>11</v>
      </c>
      <c r="AI19" s="16">
        <f t="shared" si="5"/>
        <v>11</v>
      </c>
      <c r="AJ19" s="16">
        <f t="shared" ref="AJ19:AJ22" si="8">VLOOKUP(AJ11,$O$30:$AC$35,14,0)</f>
        <v>0</v>
      </c>
      <c r="AK19" s="17">
        <f>SUM(AD19:AJ19)</f>
        <v>44</v>
      </c>
      <c r="AL19" s="16">
        <f>VLOOKUP(AL11,$O$30:$AC$35,14,0)</f>
        <v>0</v>
      </c>
      <c r="AM19" s="17">
        <f>SUM(AL19)</f>
        <v>0</v>
      </c>
      <c r="AN19" s="56">
        <v>2</v>
      </c>
      <c r="AO19" s="110">
        <f>SUM(E19+M19+U19+AC19+AK19+AM19+AN19)</f>
        <v>172</v>
      </c>
      <c r="AP19" s="111"/>
      <c r="AR19" s="99"/>
    </row>
    <row r="20" spans="1:47" ht="17.149999999999999" customHeight="1">
      <c r="A20" s="15"/>
      <c r="B20" s="106" t="s">
        <v>71</v>
      </c>
      <c r="C20" s="16">
        <f t="shared" si="0"/>
        <v>0</v>
      </c>
      <c r="D20" s="16">
        <f t="shared" si="0"/>
        <v>0</v>
      </c>
      <c r="E20" s="17">
        <f>SUM(C20:D20)</f>
        <v>0</v>
      </c>
      <c r="F20" s="95">
        <f t="shared" si="1"/>
        <v>11</v>
      </c>
      <c r="G20" s="16">
        <f t="shared" si="1"/>
        <v>11</v>
      </c>
      <c r="H20" s="16">
        <f t="shared" si="1"/>
        <v>0</v>
      </c>
      <c r="I20" s="16">
        <f t="shared" si="1"/>
        <v>0</v>
      </c>
      <c r="J20" s="16">
        <f t="shared" si="1"/>
        <v>11</v>
      </c>
      <c r="K20" s="16">
        <f t="shared" si="1"/>
        <v>11</v>
      </c>
      <c r="L20" s="16">
        <f t="shared" si="1"/>
        <v>0</v>
      </c>
      <c r="M20" s="17">
        <f t="shared" ref="M20:M23" si="9">SUM(F20:L20)</f>
        <v>44</v>
      </c>
      <c r="N20" s="16">
        <f t="shared" si="2"/>
        <v>0</v>
      </c>
      <c r="O20" s="16">
        <f t="shared" si="2"/>
        <v>11</v>
      </c>
      <c r="P20" s="16">
        <f t="shared" si="2"/>
        <v>11</v>
      </c>
      <c r="Q20" s="16">
        <f t="shared" si="2"/>
        <v>0</v>
      </c>
      <c r="R20" s="16">
        <f t="shared" si="2"/>
        <v>0</v>
      </c>
      <c r="S20" s="16">
        <f t="shared" si="2"/>
        <v>11</v>
      </c>
      <c r="T20" s="16">
        <f t="shared" si="2"/>
        <v>11</v>
      </c>
      <c r="U20" s="17">
        <f t="shared" ref="U20:U23" si="10">SUM(N20:T20)</f>
        <v>44</v>
      </c>
      <c r="V20" s="16">
        <f t="shared" si="3"/>
        <v>0</v>
      </c>
      <c r="W20" s="16">
        <f t="shared" si="3"/>
        <v>0</v>
      </c>
      <c r="X20" s="16">
        <f t="shared" si="3"/>
        <v>11</v>
      </c>
      <c r="Y20" s="16">
        <f t="shared" si="3"/>
        <v>11</v>
      </c>
      <c r="Z20" s="16">
        <f t="shared" si="3"/>
        <v>0</v>
      </c>
      <c r="AA20" s="16">
        <f t="shared" si="4"/>
        <v>0</v>
      </c>
      <c r="AB20" s="16">
        <f t="shared" ref="AB20:AI20" si="11">VLOOKUP(AB12,$O$30:$AC$35,14,0)</f>
        <v>11</v>
      </c>
      <c r="AC20" s="17">
        <f>SUM(V20:AB20)</f>
        <v>33</v>
      </c>
      <c r="AD20" s="16">
        <f t="shared" si="11"/>
        <v>11</v>
      </c>
      <c r="AE20" s="16">
        <f t="shared" si="6"/>
        <v>0</v>
      </c>
      <c r="AF20" s="16">
        <f t="shared" si="6"/>
        <v>0</v>
      </c>
      <c r="AG20" s="16">
        <f t="shared" ref="AG20" si="12">VLOOKUP(AG12,$O$30:$AC$35,14,0)</f>
        <v>11</v>
      </c>
      <c r="AH20" s="16">
        <f t="shared" ref="AH20" si="13">VLOOKUP(AH12,$O$30:$AC$35,14,0)</f>
        <v>11</v>
      </c>
      <c r="AI20" s="16">
        <f t="shared" si="11"/>
        <v>0</v>
      </c>
      <c r="AJ20" s="16">
        <f t="shared" si="8"/>
        <v>0</v>
      </c>
      <c r="AK20" s="17">
        <f>SUM(AD20:AJ20)</f>
        <v>33</v>
      </c>
      <c r="AL20" s="16">
        <f>VLOOKUP(AL12,$O$30:$AC$35,14,0)</f>
        <v>11</v>
      </c>
      <c r="AM20" s="17">
        <f>SUM(AL20)</f>
        <v>11</v>
      </c>
      <c r="AN20" s="56">
        <v>2</v>
      </c>
      <c r="AO20" s="110">
        <f>SUM(E20+M20+U20+AC20+AK20+AM20+AN20)</f>
        <v>167</v>
      </c>
      <c r="AP20" s="111"/>
      <c r="AR20" s="99"/>
    </row>
    <row r="21" spans="1:47" ht="15.5">
      <c r="A21" s="15"/>
      <c r="B21" s="63" t="s">
        <v>65</v>
      </c>
      <c r="C21" s="16">
        <f t="shared" si="0"/>
        <v>11</v>
      </c>
      <c r="D21" s="16">
        <f t="shared" si="0"/>
        <v>11</v>
      </c>
      <c r="E21" s="17">
        <f>SUM(C21:D21)</f>
        <v>22</v>
      </c>
      <c r="F21" s="95">
        <f t="shared" si="1"/>
        <v>0</v>
      </c>
      <c r="G21" s="16">
        <f t="shared" si="1"/>
        <v>0</v>
      </c>
      <c r="H21" s="16">
        <f t="shared" si="1"/>
        <v>11</v>
      </c>
      <c r="I21" s="16">
        <f t="shared" si="1"/>
        <v>11</v>
      </c>
      <c r="J21" s="16">
        <f t="shared" si="1"/>
        <v>0</v>
      </c>
      <c r="K21" s="16">
        <f t="shared" si="1"/>
        <v>0</v>
      </c>
      <c r="L21" s="16">
        <f t="shared" si="1"/>
        <v>11</v>
      </c>
      <c r="M21" s="17">
        <f t="shared" si="9"/>
        <v>33</v>
      </c>
      <c r="N21" s="16">
        <f t="shared" si="2"/>
        <v>11</v>
      </c>
      <c r="O21" s="16">
        <f t="shared" si="2"/>
        <v>0</v>
      </c>
      <c r="P21" s="16">
        <f t="shared" si="2"/>
        <v>0</v>
      </c>
      <c r="Q21" s="16">
        <f t="shared" si="2"/>
        <v>11</v>
      </c>
      <c r="R21" s="16">
        <f t="shared" si="2"/>
        <v>11</v>
      </c>
      <c r="S21" s="16">
        <f t="shared" si="2"/>
        <v>0</v>
      </c>
      <c r="T21" s="16">
        <f t="shared" si="2"/>
        <v>0</v>
      </c>
      <c r="U21" s="17">
        <f t="shared" si="10"/>
        <v>33</v>
      </c>
      <c r="V21" s="16">
        <f t="shared" si="3"/>
        <v>11</v>
      </c>
      <c r="W21" s="16">
        <f t="shared" si="3"/>
        <v>11</v>
      </c>
      <c r="X21" s="16">
        <f t="shared" si="3"/>
        <v>0</v>
      </c>
      <c r="Y21" s="16">
        <f t="shared" si="3"/>
        <v>0</v>
      </c>
      <c r="Z21" s="16">
        <f t="shared" si="3"/>
        <v>11</v>
      </c>
      <c r="AA21" s="16">
        <f t="shared" si="4"/>
        <v>11</v>
      </c>
      <c r="AB21" s="16">
        <f t="shared" ref="AB21:AI22" si="14">VLOOKUP(AB13,$O$30:$AC$35,14,0)</f>
        <v>0</v>
      </c>
      <c r="AC21" s="17">
        <f>SUM(V21:AB21)</f>
        <v>44</v>
      </c>
      <c r="AD21" s="16">
        <f t="shared" si="14"/>
        <v>0</v>
      </c>
      <c r="AE21" s="16">
        <f t="shared" si="14"/>
        <v>11</v>
      </c>
      <c r="AF21" s="16">
        <f t="shared" si="14"/>
        <v>11</v>
      </c>
      <c r="AG21" s="16">
        <f t="shared" si="14"/>
        <v>0</v>
      </c>
      <c r="AH21" s="16">
        <f t="shared" si="14"/>
        <v>0</v>
      </c>
      <c r="AI21" s="16">
        <f t="shared" si="14"/>
        <v>11</v>
      </c>
      <c r="AJ21" s="16">
        <f t="shared" si="8"/>
        <v>11</v>
      </c>
      <c r="AK21" s="17">
        <f>SUM(AD21:AJ21)</f>
        <v>44</v>
      </c>
      <c r="AL21" s="16">
        <f>VLOOKUP(AL13,$O$30:$AC$35,14,0)</f>
        <v>0</v>
      </c>
      <c r="AM21" s="17">
        <f>SUM(AL21)</f>
        <v>0</v>
      </c>
      <c r="AN21" s="56">
        <v>2</v>
      </c>
      <c r="AO21" s="110">
        <f>SUM(E21+M21+U21+AC21+AK21+AM21+AN21)</f>
        <v>178</v>
      </c>
      <c r="AP21" s="111"/>
      <c r="AR21" s="99"/>
    </row>
    <row r="22" spans="1:47" ht="16.5" customHeight="1">
      <c r="A22" s="15"/>
      <c r="B22" s="63" t="s">
        <v>23</v>
      </c>
      <c r="C22" s="16">
        <f t="shared" si="0"/>
        <v>0</v>
      </c>
      <c r="D22" s="16">
        <f t="shared" si="0"/>
        <v>11</v>
      </c>
      <c r="E22" s="17">
        <f>SUM(C22:D22)</f>
        <v>11</v>
      </c>
      <c r="F22" s="95">
        <f t="shared" si="1"/>
        <v>11</v>
      </c>
      <c r="G22" s="16">
        <f t="shared" si="1"/>
        <v>0</v>
      </c>
      <c r="H22" s="16">
        <f t="shared" si="1"/>
        <v>0</v>
      </c>
      <c r="I22" s="16">
        <f t="shared" si="1"/>
        <v>11</v>
      </c>
      <c r="J22" s="16">
        <f t="shared" si="1"/>
        <v>11</v>
      </c>
      <c r="K22" s="16">
        <f t="shared" si="1"/>
        <v>0</v>
      </c>
      <c r="L22" s="16">
        <f t="shared" si="1"/>
        <v>0</v>
      </c>
      <c r="M22" s="17">
        <f t="shared" si="9"/>
        <v>33</v>
      </c>
      <c r="N22" s="16">
        <f t="shared" si="2"/>
        <v>11</v>
      </c>
      <c r="O22" s="16">
        <f t="shared" si="2"/>
        <v>11</v>
      </c>
      <c r="P22" s="16">
        <f t="shared" si="2"/>
        <v>0</v>
      </c>
      <c r="Q22" s="16">
        <f t="shared" si="2"/>
        <v>0</v>
      </c>
      <c r="R22" s="16">
        <f t="shared" si="2"/>
        <v>11</v>
      </c>
      <c r="S22" s="16">
        <f t="shared" si="2"/>
        <v>11</v>
      </c>
      <c r="T22" s="16">
        <f t="shared" si="2"/>
        <v>0</v>
      </c>
      <c r="U22" s="17">
        <f t="shared" si="10"/>
        <v>44</v>
      </c>
      <c r="V22" s="16">
        <f t="shared" si="3"/>
        <v>0</v>
      </c>
      <c r="W22" s="16">
        <f t="shared" si="3"/>
        <v>11</v>
      </c>
      <c r="X22" s="16">
        <f t="shared" si="3"/>
        <v>11</v>
      </c>
      <c r="Y22" s="16">
        <f t="shared" si="3"/>
        <v>0</v>
      </c>
      <c r="Z22" s="16">
        <f t="shared" si="3"/>
        <v>0</v>
      </c>
      <c r="AA22" s="16">
        <f t="shared" si="4"/>
        <v>11</v>
      </c>
      <c r="AB22" s="16">
        <f t="shared" si="6"/>
        <v>11</v>
      </c>
      <c r="AC22" s="17">
        <f>SUM(V22:AB22)</f>
        <v>44</v>
      </c>
      <c r="AD22" s="16">
        <f t="shared" si="6"/>
        <v>0</v>
      </c>
      <c r="AE22" s="16">
        <f t="shared" si="6"/>
        <v>0</v>
      </c>
      <c r="AF22" s="16">
        <f t="shared" si="14"/>
        <v>11</v>
      </c>
      <c r="AG22" s="16">
        <f t="shared" si="14"/>
        <v>11</v>
      </c>
      <c r="AH22" s="16">
        <f t="shared" si="14"/>
        <v>0</v>
      </c>
      <c r="AI22" s="16">
        <f t="shared" si="6"/>
        <v>0</v>
      </c>
      <c r="AJ22" s="16">
        <f t="shared" si="8"/>
        <v>11</v>
      </c>
      <c r="AK22" s="17">
        <f>SUM(AD22:AJ22)</f>
        <v>33</v>
      </c>
      <c r="AL22" s="16">
        <f>VLOOKUP(AL14,$O$30:$AC$35,14,0)</f>
        <v>11</v>
      </c>
      <c r="AM22" s="17">
        <f>SUM(AL22)</f>
        <v>11</v>
      </c>
      <c r="AN22" s="56">
        <v>2</v>
      </c>
      <c r="AO22" s="110">
        <f>SUM(E22+M22+U22+AC22+AK22+AM22+AN22)</f>
        <v>178</v>
      </c>
      <c r="AP22" s="111"/>
      <c r="AR22" s="99"/>
    </row>
    <row r="23" spans="1:47" ht="23.15" customHeight="1">
      <c r="A23" s="15"/>
      <c r="B23" s="18" t="s">
        <v>25</v>
      </c>
      <c r="C23" s="19">
        <f>SUM(C19:C22)</f>
        <v>22</v>
      </c>
      <c r="D23" s="19">
        <f>SUM(D19:D22)</f>
        <v>22</v>
      </c>
      <c r="E23" s="17">
        <f>SUM(C23:D23)</f>
        <v>44</v>
      </c>
      <c r="F23" s="100">
        <f t="shared" ref="F23:J23" si="15">SUM(F19:F22)</f>
        <v>22</v>
      </c>
      <c r="G23" s="19">
        <f t="shared" si="15"/>
        <v>22</v>
      </c>
      <c r="H23" s="19">
        <f t="shared" si="15"/>
        <v>22</v>
      </c>
      <c r="I23" s="19">
        <f t="shared" si="15"/>
        <v>22</v>
      </c>
      <c r="J23" s="19">
        <f t="shared" si="15"/>
        <v>22</v>
      </c>
      <c r="K23" s="19">
        <f t="shared" ref="K23:T23" si="16">SUM(K19:K22)</f>
        <v>22</v>
      </c>
      <c r="L23" s="19">
        <f t="shared" si="16"/>
        <v>22</v>
      </c>
      <c r="M23" s="17">
        <f t="shared" si="9"/>
        <v>154</v>
      </c>
      <c r="N23" s="19">
        <f t="shared" si="16"/>
        <v>22</v>
      </c>
      <c r="O23" s="19">
        <f t="shared" si="16"/>
        <v>22</v>
      </c>
      <c r="P23" s="19">
        <f t="shared" si="16"/>
        <v>22</v>
      </c>
      <c r="Q23" s="19">
        <f t="shared" si="16"/>
        <v>22</v>
      </c>
      <c r="R23" s="19">
        <f t="shared" si="16"/>
        <v>22</v>
      </c>
      <c r="S23" s="19">
        <f t="shared" si="16"/>
        <v>22</v>
      </c>
      <c r="T23" s="19">
        <f t="shared" si="16"/>
        <v>22</v>
      </c>
      <c r="U23" s="17">
        <f t="shared" si="10"/>
        <v>154</v>
      </c>
      <c r="V23" s="19">
        <f t="shared" ref="V23:AA23" si="17">SUM(V19:V22)</f>
        <v>22</v>
      </c>
      <c r="W23" s="19">
        <f t="shared" si="17"/>
        <v>22</v>
      </c>
      <c r="X23" s="19">
        <f t="shared" si="17"/>
        <v>27</v>
      </c>
      <c r="Y23" s="19">
        <f t="shared" si="17"/>
        <v>22</v>
      </c>
      <c r="Z23" s="19">
        <f t="shared" si="17"/>
        <v>22</v>
      </c>
      <c r="AA23" s="19">
        <f t="shared" si="17"/>
        <v>22</v>
      </c>
      <c r="AB23" s="19">
        <f t="shared" ref="AB23:AI23" si="18">SUM(AB19:AB22)</f>
        <v>22</v>
      </c>
      <c r="AC23" s="17">
        <f>SUM(V23:AB23)</f>
        <v>159</v>
      </c>
      <c r="AD23" s="19">
        <f t="shared" si="18"/>
        <v>22</v>
      </c>
      <c r="AE23" s="19">
        <f t="shared" si="18"/>
        <v>22</v>
      </c>
      <c r="AF23" s="19">
        <f t="shared" si="18"/>
        <v>22</v>
      </c>
      <c r="AG23" s="19">
        <f t="shared" si="18"/>
        <v>22</v>
      </c>
      <c r="AH23" s="19">
        <f t="shared" si="18"/>
        <v>22</v>
      </c>
      <c r="AI23" s="19">
        <f t="shared" si="18"/>
        <v>22</v>
      </c>
      <c r="AJ23" s="19">
        <f>SUM(AJ19:AJ22)</f>
        <v>22</v>
      </c>
      <c r="AK23" s="19">
        <f>SUM(AK19:AK22)</f>
        <v>154</v>
      </c>
      <c r="AL23" s="19">
        <f>SUM(AL19:AL22)</f>
        <v>22</v>
      </c>
      <c r="AM23" s="17">
        <f>SUM(AD23:AL23)</f>
        <v>330</v>
      </c>
      <c r="AN23" s="19">
        <f>SUM(AN19:AN22)</f>
        <v>8</v>
      </c>
      <c r="AO23" s="110">
        <f>SUM(E23,M23,U23,AC23,AN23,AM23)</f>
        <v>849</v>
      </c>
      <c r="AP23" s="111"/>
    </row>
    <row r="24" spans="1:47" ht="15.75" customHeight="1">
      <c r="A24" s="15"/>
      <c r="B24" s="12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60"/>
    </row>
    <row r="25" spans="1:47" ht="15" customHeight="1">
      <c r="A25" s="15"/>
      <c r="B25" s="12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60"/>
    </row>
    <row r="26" spans="1:47" ht="25.5" customHeight="1">
      <c r="A26" s="15"/>
      <c r="B26" s="21" t="s">
        <v>26</v>
      </c>
      <c r="M26" s="26"/>
      <c r="N26" s="20"/>
      <c r="O26" s="20"/>
      <c r="P26" s="20"/>
      <c r="Q26" s="20"/>
      <c r="R26" s="20"/>
    </row>
    <row r="27" spans="1:47" ht="15.75" customHeight="1">
      <c r="A27" s="7"/>
      <c r="B27" s="15"/>
      <c r="M27" s="26"/>
    </row>
    <row r="28" spans="1:47" ht="15.75" customHeight="1">
      <c r="A28" s="7"/>
      <c r="B28" s="7"/>
      <c r="O28" s="172" t="s">
        <v>27</v>
      </c>
      <c r="P28" s="173"/>
      <c r="Q28" s="173"/>
      <c r="R28" s="173"/>
      <c r="S28" s="173"/>
      <c r="T28" s="173"/>
      <c r="U28" s="173"/>
      <c r="V28" s="173"/>
      <c r="W28" s="173"/>
      <c r="X28" s="173"/>
      <c r="Y28" s="173"/>
      <c r="Z28" s="173"/>
      <c r="AA28" s="173"/>
      <c r="AB28" s="173"/>
      <c r="AC28" s="173"/>
      <c r="AD28" s="173"/>
      <c r="AE28" s="173"/>
      <c r="AF28" s="173"/>
      <c r="AG28" s="173"/>
      <c r="AH28" s="173"/>
      <c r="AI28" s="174"/>
      <c r="AJ28" s="173"/>
    </row>
    <row r="29" spans="1:47" ht="16.5" customHeight="1">
      <c r="A29" s="7"/>
      <c r="B29" s="7"/>
      <c r="O29" s="175" t="s">
        <v>28</v>
      </c>
      <c r="P29" s="176"/>
      <c r="Q29" s="176"/>
      <c r="R29" s="176"/>
      <c r="S29" s="175" t="s">
        <v>29</v>
      </c>
      <c r="T29" s="176"/>
      <c r="U29" s="176"/>
      <c r="V29" s="175" t="s">
        <v>30</v>
      </c>
      <c r="W29" s="176"/>
      <c r="X29" s="175" t="s">
        <v>31</v>
      </c>
      <c r="Y29" s="177"/>
      <c r="Z29" s="175" t="s">
        <v>32</v>
      </c>
      <c r="AA29" s="176"/>
      <c r="AB29" s="178" t="s">
        <v>24</v>
      </c>
      <c r="AC29" s="176"/>
      <c r="AD29" s="176"/>
      <c r="AE29" s="176"/>
      <c r="AF29" s="176"/>
      <c r="AG29" s="176"/>
      <c r="AH29" s="176"/>
      <c r="AI29" s="174"/>
      <c r="AJ29" s="176"/>
    </row>
    <row r="30" spans="1:47" ht="17.5" customHeight="1">
      <c r="A30" s="7"/>
      <c r="B30" s="7"/>
      <c r="O30" s="102" t="s">
        <v>18</v>
      </c>
      <c r="P30" s="187" t="s">
        <v>33</v>
      </c>
      <c r="Q30" s="188"/>
      <c r="R30" s="189"/>
      <c r="S30" s="185">
        <v>0.25</v>
      </c>
      <c r="T30" s="186"/>
      <c r="U30" s="190"/>
      <c r="V30" s="185">
        <v>0.5</v>
      </c>
      <c r="W30" s="190"/>
      <c r="X30" s="185">
        <v>0.54166666666666696</v>
      </c>
      <c r="Y30" s="186"/>
      <c r="Z30" s="179">
        <v>0.75</v>
      </c>
      <c r="AA30" s="180"/>
      <c r="AB30" s="184">
        <v>11</v>
      </c>
      <c r="AC30" s="184"/>
      <c r="AD30" s="184"/>
      <c r="AE30" s="184"/>
      <c r="AF30" s="184"/>
      <c r="AG30" s="184"/>
      <c r="AH30" s="184"/>
      <c r="AI30" s="184"/>
      <c r="AJ30" s="184"/>
    </row>
    <row r="31" spans="1:47" ht="18" customHeight="1">
      <c r="A31" s="7"/>
      <c r="B31" s="7"/>
      <c r="O31" s="103" t="s">
        <v>20</v>
      </c>
      <c r="P31" s="128" t="s">
        <v>34</v>
      </c>
      <c r="Q31" s="129"/>
      <c r="R31" s="130"/>
      <c r="S31" s="125">
        <v>0.75</v>
      </c>
      <c r="T31" s="126"/>
      <c r="U31" s="127"/>
      <c r="V31" s="125">
        <v>0.75</v>
      </c>
      <c r="W31" s="183"/>
      <c r="X31" s="185">
        <v>0.54166666666666696</v>
      </c>
      <c r="Y31" s="186"/>
      <c r="Z31" s="179">
        <v>0.75</v>
      </c>
      <c r="AA31" s="180"/>
      <c r="AB31" s="181">
        <v>11</v>
      </c>
      <c r="AC31" s="181"/>
      <c r="AD31" s="181"/>
      <c r="AE31" s="181"/>
      <c r="AF31" s="181"/>
      <c r="AG31" s="181"/>
      <c r="AH31" s="181"/>
      <c r="AI31" s="181"/>
      <c r="AJ31" s="181"/>
    </row>
    <row r="32" spans="1:47" ht="15.75" customHeight="1">
      <c r="A32" s="7"/>
      <c r="B32" s="7"/>
      <c r="O32" s="104" t="s">
        <v>14</v>
      </c>
      <c r="P32" s="128" t="s">
        <v>35</v>
      </c>
      <c r="Q32" s="129"/>
      <c r="R32" s="130"/>
      <c r="S32" s="125">
        <v>0.33333333333333331</v>
      </c>
      <c r="T32" s="182"/>
      <c r="U32" s="183"/>
      <c r="V32" s="125">
        <v>0.54166666666666663</v>
      </c>
      <c r="W32" s="183"/>
      <c r="X32" s="36"/>
      <c r="Y32" s="73"/>
      <c r="Z32" s="179"/>
      <c r="AA32" s="180"/>
      <c r="AB32" s="181">
        <v>5</v>
      </c>
      <c r="AC32" s="181"/>
      <c r="AD32" s="181"/>
      <c r="AE32" s="181"/>
      <c r="AF32" s="181"/>
      <c r="AG32" s="181"/>
      <c r="AH32" s="181"/>
      <c r="AI32" s="181"/>
      <c r="AJ32" s="181"/>
    </row>
    <row r="33" spans="1:49" ht="18" customHeight="1">
      <c r="A33" s="7"/>
      <c r="B33" s="7"/>
      <c r="O33" s="104" t="s">
        <v>22</v>
      </c>
      <c r="P33" s="128" t="s">
        <v>36</v>
      </c>
      <c r="Q33" s="129"/>
      <c r="R33" s="130"/>
      <c r="S33" s="125">
        <v>0.29166666666666702</v>
      </c>
      <c r="T33" s="182"/>
      <c r="U33" s="183"/>
      <c r="V33" s="125">
        <v>0.45833333333333298</v>
      </c>
      <c r="W33" s="183"/>
      <c r="X33" s="36"/>
      <c r="Y33" s="73"/>
      <c r="Z33" s="179"/>
      <c r="AA33" s="180"/>
      <c r="AB33" s="181">
        <v>4</v>
      </c>
      <c r="AC33" s="181"/>
      <c r="AD33" s="181"/>
      <c r="AE33" s="181"/>
      <c r="AF33" s="181"/>
      <c r="AG33" s="181"/>
      <c r="AH33" s="181"/>
      <c r="AI33" s="181"/>
      <c r="AJ33" s="181"/>
    </row>
    <row r="34" spans="1:49" ht="18" customHeight="1">
      <c r="A34" s="7"/>
      <c r="B34" s="7"/>
      <c r="O34" s="104" t="s">
        <v>19</v>
      </c>
      <c r="P34" s="128" t="s">
        <v>37</v>
      </c>
      <c r="Q34" s="129"/>
      <c r="R34" s="130"/>
      <c r="S34" s="37"/>
      <c r="T34" s="37"/>
      <c r="U34" s="38"/>
      <c r="V34" s="39"/>
      <c r="W34" s="40"/>
      <c r="X34" s="36"/>
      <c r="Y34" s="37"/>
      <c r="Z34" s="179"/>
      <c r="AA34" s="180"/>
      <c r="AB34" s="181">
        <v>0</v>
      </c>
      <c r="AC34" s="181"/>
      <c r="AD34" s="181"/>
      <c r="AE34" s="181"/>
      <c r="AF34" s="181"/>
      <c r="AG34" s="181"/>
      <c r="AH34" s="181"/>
      <c r="AI34" s="181"/>
      <c r="AJ34" s="181"/>
    </row>
    <row r="35" spans="1:49" ht="22.5" customHeight="1">
      <c r="A35" s="7"/>
      <c r="B35" s="22"/>
      <c r="O35" s="105" t="s">
        <v>12</v>
      </c>
      <c r="P35" s="131" t="s">
        <v>38</v>
      </c>
      <c r="Q35" s="132"/>
      <c r="R35" s="133"/>
      <c r="S35" s="41"/>
      <c r="T35" s="42"/>
      <c r="U35" s="43"/>
      <c r="V35" s="41"/>
      <c r="W35" s="43"/>
      <c r="X35" s="41"/>
      <c r="Y35" s="42"/>
      <c r="Z35" s="179"/>
      <c r="AA35" s="180"/>
      <c r="AB35" s="181">
        <v>3</v>
      </c>
      <c r="AC35" s="181"/>
      <c r="AD35" s="181"/>
      <c r="AE35" s="181"/>
      <c r="AF35" s="181"/>
      <c r="AG35" s="181"/>
      <c r="AH35" s="181"/>
      <c r="AI35" s="181"/>
      <c r="AJ35" s="181"/>
    </row>
    <row r="36" spans="1:49" ht="27" customHeight="1">
      <c r="A36" s="7"/>
      <c r="G36" s="32"/>
      <c r="H36" s="32"/>
      <c r="I36" s="32"/>
      <c r="P36" s="44"/>
      <c r="Q36" s="44"/>
      <c r="R36" s="44"/>
    </row>
    <row r="37" spans="1:49" ht="19.5" customHeight="1">
      <c r="A37" s="7"/>
      <c r="B37" s="22"/>
      <c r="G37" s="32"/>
      <c r="H37" s="32"/>
      <c r="I37" s="32"/>
    </row>
    <row r="38" spans="1:49" ht="19.5" customHeight="1">
      <c r="A38" s="7"/>
      <c r="B38" s="22"/>
      <c r="G38" s="32"/>
      <c r="H38" s="32"/>
      <c r="I38" s="32"/>
    </row>
    <row r="39" spans="1:49" ht="19.5" customHeight="1">
      <c r="A39" s="7"/>
      <c r="G39" s="32"/>
      <c r="H39" s="32"/>
      <c r="I39" s="32"/>
      <c r="M39" s="33"/>
      <c r="N39" s="33"/>
      <c r="O39" s="33"/>
      <c r="P39" s="33"/>
      <c r="Q39" s="33"/>
      <c r="R39" s="33"/>
      <c r="S39" s="33"/>
      <c r="T39" s="33"/>
      <c r="U39" s="33"/>
      <c r="V39" s="33"/>
    </row>
    <row r="40" spans="1:49" ht="19.5" customHeight="1">
      <c r="A40" s="7"/>
      <c r="B40" s="134" t="s">
        <v>39</v>
      </c>
      <c r="C40" s="134"/>
      <c r="M40" s="34" t="s">
        <v>40</v>
      </c>
      <c r="N40" s="34"/>
      <c r="P40" s="34"/>
      <c r="Q40" s="34"/>
      <c r="R40" s="34"/>
      <c r="S40" s="34"/>
      <c r="T40" s="34"/>
      <c r="Z40" s="32"/>
      <c r="AA40" s="53"/>
      <c r="AB40" s="135" t="s">
        <v>41</v>
      </c>
      <c r="AC40" s="135"/>
      <c r="AD40" s="135" t="s">
        <v>41</v>
      </c>
      <c r="AE40" s="135"/>
      <c r="AF40" s="135"/>
      <c r="AG40" s="135"/>
      <c r="AH40" s="135"/>
      <c r="AI40" s="138" t="s">
        <v>41</v>
      </c>
      <c r="AJ40" s="138" t="s">
        <v>41</v>
      </c>
      <c r="AK40" s="138"/>
      <c r="AL40" s="138" t="s">
        <v>41</v>
      </c>
      <c r="AM40" s="138"/>
      <c r="AN40" s="138"/>
      <c r="AO40" s="138"/>
      <c r="AP40" s="138"/>
      <c r="AQ40" s="138"/>
      <c r="AR40" s="138"/>
      <c r="AS40" s="138"/>
      <c r="AT40" s="138"/>
      <c r="AU40" s="138"/>
      <c r="AV40" s="138"/>
      <c r="AW40" s="138"/>
    </row>
    <row r="41" spans="1:49" ht="19.5" customHeight="1">
      <c r="A41" s="7"/>
      <c r="B41" s="139" t="s">
        <v>42</v>
      </c>
      <c r="C41" s="139"/>
      <c r="M41" s="101" t="s">
        <v>43</v>
      </c>
      <c r="N41" s="101"/>
      <c r="O41" s="101"/>
      <c r="P41" s="101"/>
      <c r="Q41" s="101"/>
      <c r="R41" s="101"/>
      <c r="S41" s="101"/>
      <c r="T41" s="101"/>
      <c r="U41" s="101"/>
      <c r="V41" s="101"/>
      <c r="W41" s="101"/>
      <c r="X41" s="101"/>
      <c r="Y41" s="101"/>
      <c r="Z41" s="101"/>
      <c r="AA41" s="54"/>
      <c r="AB41" s="141" t="s">
        <v>44</v>
      </c>
      <c r="AC41" s="141"/>
      <c r="AD41" s="141" t="s">
        <v>44</v>
      </c>
      <c r="AE41" s="141"/>
      <c r="AF41" s="141"/>
      <c r="AG41" s="141"/>
      <c r="AH41" s="141"/>
      <c r="AI41" s="141" t="s">
        <v>44</v>
      </c>
      <c r="AJ41" s="141" t="s">
        <v>44</v>
      </c>
      <c r="AK41" s="141"/>
      <c r="AL41" s="141" t="s">
        <v>44</v>
      </c>
      <c r="AM41" s="141"/>
      <c r="AN41" s="141"/>
      <c r="AO41" s="141"/>
      <c r="AP41" s="141"/>
      <c r="AQ41" s="141"/>
      <c r="AR41" s="141"/>
      <c r="AS41" s="141"/>
      <c r="AT41" s="141"/>
      <c r="AU41" s="141"/>
      <c r="AV41" s="141"/>
      <c r="AW41" s="141"/>
    </row>
  </sheetData>
  <mergeCells count="71">
    <mergeCell ref="AC17:AC18"/>
    <mergeCell ref="AM17:AM18"/>
    <mergeCell ref="AK17:AK18"/>
    <mergeCell ref="AO17:AP18"/>
    <mergeCell ref="C1:AB4"/>
    <mergeCell ref="B8:AP8"/>
    <mergeCell ref="AC1:AP1"/>
    <mergeCell ref="AC2:AP2"/>
    <mergeCell ref="AC3:AP3"/>
    <mergeCell ref="AC4:AP4"/>
    <mergeCell ref="B40:C40"/>
    <mergeCell ref="AB40:AW40"/>
    <mergeCell ref="B41:C41"/>
    <mergeCell ref="AB41:AW41"/>
    <mergeCell ref="B1:B4"/>
    <mergeCell ref="B9:B10"/>
    <mergeCell ref="B17:B18"/>
    <mergeCell ref="E9:E10"/>
    <mergeCell ref="E17:E18"/>
    <mergeCell ref="M9:M10"/>
    <mergeCell ref="M17:M18"/>
    <mergeCell ref="U9:U10"/>
    <mergeCell ref="U17:U18"/>
    <mergeCell ref="AN9:AN10"/>
    <mergeCell ref="AN17:AN18"/>
    <mergeCell ref="AO9:AP10"/>
    <mergeCell ref="P32:R32"/>
    <mergeCell ref="S32:U32"/>
    <mergeCell ref="V32:W32"/>
    <mergeCell ref="Z32:AA32"/>
    <mergeCell ref="AB32:AJ32"/>
    <mergeCell ref="AB30:AJ30"/>
    <mergeCell ref="P31:R31"/>
    <mergeCell ref="S31:U31"/>
    <mergeCell ref="V31:W31"/>
    <mergeCell ref="X31:Y31"/>
    <mergeCell ref="Z31:AA31"/>
    <mergeCell ref="AB31:AJ31"/>
    <mergeCell ref="P30:R30"/>
    <mergeCell ref="S30:U30"/>
    <mergeCell ref="V30:W30"/>
    <mergeCell ref="X30:Y30"/>
    <mergeCell ref="Z30:AA30"/>
    <mergeCell ref="P35:R35"/>
    <mergeCell ref="Z35:AA35"/>
    <mergeCell ref="AB35:AJ35"/>
    <mergeCell ref="P33:R33"/>
    <mergeCell ref="S33:U33"/>
    <mergeCell ref="V33:W33"/>
    <mergeCell ref="Z33:AA33"/>
    <mergeCell ref="AB33:AJ33"/>
    <mergeCell ref="P34:R34"/>
    <mergeCell ref="Z34:AA34"/>
    <mergeCell ref="AB34:AJ34"/>
    <mergeCell ref="O28:AJ28"/>
    <mergeCell ref="O29:R29"/>
    <mergeCell ref="S29:U29"/>
    <mergeCell ref="V29:W29"/>
    <mergeCell ref="X29:Y29"/>
    <mergeCell ref="Z29:AA29"/>
    <mergeCell ref="AB29:AJ29"/>
    <mergeCell ref="AO19:AP19"/>
    <mergeCell ref="AO20:AP20"/>
    <mergeCell ref="AO21:AP21"/>
    <mergeCell ref="AO22:AP22"/>
    <mergeCell ref="AO23:AP23"/>
    <mergeCell ref="AS13:AY13"/>
    <mergeCell ref="B16:AP16"/>
    <mergeCell ref="AC9:AC10"/>
    <mergeCell ref="AK9:AK10"/>
    <mergeCell ref="AM9:AM10"/>
  </mergeCells>
  <conditionalFormatting sqref="P32:P33">
    <cfRule type="cellIs" priority="2" operator="equal">
      <formula>#REF!</formula>
    </cfRule>
  </conditionalFormatting>
  <conditionalFormatting sqref="X30:X31">
    <cfRule type="cellIs" priority="1" operator="equal">
      <formula>#REF!</formula>
    </cfRule>
  </conditionalFormatting>
  <pageMargins left="0.70866141732283505" right="0.70866141732283505" top="0.74803149606299202" bottom="0.74803149606299202" header="0" footer="0"/>
  <pageSetup paperSize="9" scale="55" orientation="landscape"/>
  <ignoredErrors>
    <ignoredError sqref="U19:U23 M19:M23 E19:E23 AC19:AC23 AM23 AK19:AK22" formula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0.39979247413556324"/>
    <pageSetUpPr fitToPage="1"/>
  </sheetPr>
  <dimension ref="A1:BD41"/>
  <sheetViews>
    <sheetView showGridLines="0" topLeftCell="A10" zoomScale="80" zoomScaleNormal="80" zoomScaleSheetLayoutView="90" workbookViewId="0">
      <pane xSplit="1" topLeftCell="B1" activePane="topRight" state="frozen"/>
      <selection pane="topRight" activeCell="J19" sqref="J19"/>
    </sheetView>
  </sheetViews>
  <sheetFormatPr baseColWidth="10" defaultColWidth="12.58203125" defaultRowHeight="15" customHeight="1"/>
  <cols>
    <col min="1" max="1" width="3" style="2" customWidth="1"/>
    <col min="2" max="2" width="28.58203125" style="2" customWidth="1"/>
    <col min="3" max="3" width="3.25" style="2" customWidth="1"/>
    <col min="4" max="4" width="4.33203125" style="2" customWidth="1"/>
    <col min="5" max="5" width="4.5" style="2" customWidth="1"/>
    <col min="6" max="6" width="3.25" style="2" customWidth="1"/>
    <col min="7" max="7" width="3.83203125" style="2" customWidth="1"/>
    <col min="8" max="8" width="4.33203125" style="2" customWidth="1"/>
    <col min="9" max="11" width="3.25" style="2" customWidth="1"/>
    <col min="12" max="12" width="4.33203125" style="2" customWidth="1"/>
    <col min="13" max="13" width="4.25" style="2" customWidth="1"/>
    <col min="14" max="14" width="3.25" style="2" customWidth="1"/>
    <col min="15" max="16" width="4.33203125" style="2" customWidth="1"/>
    <col min="17" max="19" width="3.25" style="2" customWidth="1"/>
    <col min="20" max="21" width="4.33203125" style="2" customWidth="1"/>
    <col min="22" max="22" width="3.25" style="2" customWidth="1"/>
    <col min="23" max="24" width="4.33203125" style="2" customWidth="1"/>
    <col min="25" max="28" width="3.25" style="2" customWidth="1"/>
    <col min="29" max="29" width="4.33203125" style="2" customWidth="1"/>
    <col min="30" max="30" width="3.25" style="2" customWidth="1"/>
    <col min="31" max="31" width="4.33203125" style="2" customWidth="1"/>
    <col min="32" max="32" width="3.25" style="2" customWidth="1"/>
    <col min="33" max="39" width="4.33203125" style="2" customWidth="1"/>
    <col min="40" max="40" width="3.25" style="2" customWidth="1"/>
    <col min="41" max="44" width="4.33203125" style="2" customWidth="1"/>
    <col min="45" max="45" width="5.25" style="2" customWidth="1"/>
    <col min="46" max="46" width="4.25" style="2" customWidth="1"/>
    <col min="47" max="47" width="12.5" style="2" customWidth="1"/>
    <col min="48" max="48" width="9.33203125" style="2" customWidth="1"/>
    <col min="49" max="56" width="10" style="2" customWidth="1"/>
    <col min="57" max="16384" width="12.58203125" style="2"/>
  </cols>
  <sheetData>
    <row r="1" spans="1:56" ht="15.75" customHeight="1">
      <c r="A1" s="3"/>
      <c r="B1" s="142"/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  <c r="O1" s="160"/>
      <c r="P1" s="160"/>
      <c r="Q1" s="160"/>
      <c r="R1" s="160"/>
      <c r="S1" s="160"/>
      <c r="T1" s="160"/>
      <c r="U1" s="160"/>
      <c r="V1" s="160"/>
      <c r="W1" s="160"/>
      <c r="X1" s="160"/>
      <c r="Y1" s="160"/>
      <c r="Z1" s="160"/>
      <c r="AA1" s="160"/>
      <c r="AB1" s="160"/>
      <c r="AC1" s="159" t="s">
        <v>0</v>
      </c>
      <c r="AD1" s="160"/>
      <c r="AE1" s="160"/>
      <c r="AF1" s="160"/>
      <c r="AG1" s="160"/>
      <c r="AH1" s="160"/>
      <c r="AI1" s="160"/>
      <c r="AJ1" s="160"/>
      <c r="AK1" s="160"/>
      <c r="AL1" s="160"/>
      <c r="AM1" s="160"/>
      <c r="AN1" s="159"/>
      <c r="AO1" s="159"/>
      <c r="AP1" s="159"/>
      <c r="AR1" s="57"/>
      <c r="AV1" s="6"/>
      <c r="AW1" s="6"/>
      <c r="AX1" s="6"/>
      <c r="AY1" s="3"/>
      <c r="AZ1" s="3"/>
      <c r="BA1" s="3"/>
      <c r="BB1" s="3"/>
      <c r="BC1" s="3"/>
      <c r="BD1" s="3"/>
    </row>
    <row r="2" spans="1:56" ht="15" customHeight="1">
      <c r="A2" s="3"/>
      <c r="B2" s="143"/>
      <c r="C2" s="160"/>
      <c r="D2" s="160"/>
      <c r="E2" s="160"/>
      <c r="F2" s="160"/>
      <c r="G2" s="160"/>
      <c r="H2" s="160"/>
      <c r="I2" s="160"/>
      <c r="J2" s="160"/>
      <c r="K2" s="160"/>
      <c r="L2" s="160"/>
      <c r="M2" s="160"/>
      <c r="N2" s="160"/>
      <c r="O2" s="160"/>
      <c r="P2" s="160"/>
      <c r="Q2" s="160"/>
      <c r="R2" s="160"/>
      <c r="S2" s="160"/>
      <c r="T2" s="160"/>
      <c r="U2" s="160"/>
      <c r="V2" s="160"/>
      <c r="W2" s="160"/>
      <c r="X2" s="160"/>
      <c r="Y2" s="160"/>
      <c r="Z2" s="160"/>
      <c r="AA2" s="160"/>
      <c r="AB2" s="160"/>
      <c r="AC2" s="161" t="s">
        <v>1</v>
      </c>
      <c r="AD2" s="160"/>
      <c r="AE2" s="160"/>
      <c r="AF2" s="160"/>
      <c r="AG2" s="160"/>
      <c r="AH2" s="160"/>
      <c r="AI2" s="160"/>
      <c r="AJ2" s="160"/>
      <c r="AK2" s="160"/>
      <c r="AL2" s="160"/>
      <c r="AM2" s="160"/>
      <c r="AN2" s="162"/>
      <c r="AO2" s="162"/>
      <c r="AP2" s="163"/>
      <c r="AQ2" s="57"/>
      <c r="AR2" s="57"/>
      <c r="AV2" s="6"/>
      <c r="AW2" s="6"/>
      <c r="AX2" s="6"/>
      <c r="AY2" s="3"/>
      <c r="AZ2" s="3"/>
      <c r="BA2" s="3"/>
      <c r="BB2" s="3"/>
      <c r="BC2" s="3"/>
      <c r="BD2" s="3"/>
    </row>
    <row r="3" spans="1:56" ht="20.25" customHeight="1">
      <c r="A3" s="3"/>
      <c r="B3" s="143"/>
      <c r="C3" s="160"/>
      <c r="D3" s="160"/>
      <c r="E3" s="160"/>
      <c r="F3" s="160"/>
      <c r="G3" s="160"/>
      <c r="H3" s="160"/>
      <c r="I3" s="160"/>
      <c r="J3" s="160"/>
      <c r="K3" s="160"/>
      <c r="L3" s="160"/>
      <c r="M3" s="160"/>
      <c r="N3" s="160"/>
      <c r="O3" s="160"/>
      <c r="P3" s="160"/>
      <c r="Q3" s="160"/>
      <c r="R3" s="160"/>
      <c r="S3" s="160"/>
      <c r="T3" s="160"/>
      <c r="U3" s="160"/>
      <c r="V3" s="160"/>
      <c r="W3" s="160"/>
      <c r="X3" s="160"/>
      <c r="Y3" s="160"/>
      <c r="Z3" s="160"/>
      <c r="AA3" s="160"/>
      <c r="AB3" s="160"/>
      <c r="AC3" s="161" t="s">
        <v>2</v>
      </c>
      <c r="AD3" s="160"/>
      <c r="AE3" s="160"/>
      <c r="AF3" s="160"/>
      <c r="AG3" s="160"/>
      <c r="AH3" s="160"/>
      <c r="AI3" s="160"/>
      <c r="AJ3" s="160"/>
      <c r="AK3" s="160"/>
      <c r="AL3" s="160"/>
      <c r="AM3" s="160"/>
      <c r="AN3" s="162"/>
      <c r="AO3" s="162"/>
      <c r="AP3" s="163"/>
      <c r="AQ3" s="57"/>
      <c r="AR3" s="57"/>
      <c r="AV3" s="6"/>
      <c r="AW3" s="6"/>
    </row>
    <row r="4" spans="1:56" ht="23.5" customHeight="1">
      <c r="A4" s="3"/>
      <c r="B4" s="144"/>
      <c r="C4" s="160"/>
      <c r="D4" s="160"/>
      <c r="E4" s="160"/>
      <c r="F4" s="160"/>
      <c r="G4" s="160"/>
      <c r="H4" s="160"/>
      <c r="I4" s="160"/>
      <c r="J4" s="160"/>
      <c r="K4" s="160"/>
      <c r="L4" s="160"/>
      <c r="M4" s="160"/>
      <c r="N4" s="160"/>
      <c r="O4" s="160"/>
      <c r="P4" s="160"/>
      <c r="Q4" s="160"/>
      <c r="R4" s="160"/>
      <c r="S4" s="160"/>
      <c r="T4" s="160"/>
      <c r="U4" s="160"/>
      <c r="V4" s="160"/>
      <c r="W4" s="160"/>
      <c r="X4" s="160"/>
      <c r="Y4" s="160"/>
      <c r="Z4" s="160"/>
      <c r="AA4" s="160"/>
      <c r="AB4" s="160"/>
      <c r="AC4" s="164" t="s">
        <v>3</v>
      </c>
      <c r="AD4" s="160"/>
      <c r="AE4" s="160"/>
      <c r="AF4" s="160"/>
      <c r="AG4" s="160"/>
      <c r="AH4" s="160"/>
      <c r="AI4" s="160"/>
      <c r="AJ4" s="160"/>
      <c r="AK4" s="160"/>
      <c r="AL4" s="160"/>
      <c r="AM4" s="160"/>
      <c r="AN4" s="165"/>
      <c r="AO4" s="165"/>
      <c r="AP4" s="166"/>
      <c r="AQ4" s="57"/>
      <c r="AR4" s="57"/>
      <c r="AV4" s="6"/>
      <c r="AW4" s="6"/>
    </row>
    <row r="5" spans="1:56" ht="18">
      <c r="A5" s="3"/>
      <c r="B5" s="4" t="s">
        <v>4</v>
      </c>
      <c r="C5" s="5" t="s">
        <v>5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6" ht="18">
      <c r="A6" s="3"/>
      <c r="B6" s="4" t="s">
        <v>6</v>
      </c>
      <c r="C6" s="5" t="s">
        <v>45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6" ht="18">
      <c r="A7" s="3"/>
      <c r="B7" s="6" t="s">
        <v>8</v>
      </c>
      <c r="C7" s="107" t="s">
        <v>69</v>
      </c>
      <c r="D7" s="107"/>
      <c r="E7" s="107"/>
      <c r="F7" s="107"/>
      <c r="G7" s="107"/>
      <c r="H7" s="107"/>
      <c r="I7" s="107"/>
      <c r="J7" s="107"/>
      <c r="K7" s="107"/>
      <c r="L7" s="107"/>
      <c r="M7" s="107"/>
      <c r="N7" s="107"/>
      <c r="O7" s="107"/>
      <c r="P7" s="107"/>
      <c r="Q7" s="107"/>
      <c r="R7" s="107"/>
      <c r="S7" s="107"/>
      <c r="T7" s="107"/>
      <c r="U7" s="107"/>
      <c r="V7" s="107"/>
      <c r="W7" s="107"/>
      <c r="X7" s="107"/>
      <c r="Y7" s="107"/>
      <c r="Z7" s="107"/>
      <c r="AA7" s="107"/>
      <c r="AB7" s="107"/>
      <c r="AC7" s="107"/>
      <c r="AD7" s="107"/>
      <c r="AE7" s="107"/>
      <c r="AF7" s="107"/>
      <c r="AG7" s="107"/>
      <c r="AH7" s="107"/>
      <c r="AI7" s="107"/>
      <c r="AJ7" s="107"/>
      <c r="AK7" s="107"/>
      <c r="AL7" s="107"/>
      <c r="AM7" s="107"/>
      <c r="AN7" s="107"/>
      <c r="AO7" s="107"/>
      <c r="AP7" s="107"/>
      <c r="AQ7" s="107"/>
      <c r="AR7" s="107"/>
      <c r="AS7" s="107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6" ht="15.5">
      <c r="A8" s="7"/>
      <c r="B8" s="151" t="s">
        <v>9</v>
      </c>
      <c r="C8" s="151"/>
      <c r="D8" s="151"/>
      <c r="E8" s="151"/>
      <c r="F8" s="151"/>
      <c r="G8" s="151"/>
      <c r="H8" s="151"/>
      <c r="I8" s="151"/>
      <c r="J8" s="151"/>
      <c r="K8" s="151"/>
      <c r="L8" s="151"/>
      <c r="M8" s="151"/>
      <c r="N8" s="151"/>
      <c r="O8" s="151"/>
      <c r="P8" s="151"/>
      <c r="Q8" s="151"/>
      <c r="R8" s="151"/>
      <c r="S8" s="151"/>
      <c r="T8" s="151"/>
      <c r="U8" s="151"/>
      <c r="V8" s="151"/>
      <c r="W8" s="151"/>
      <c r="X8" s="151"/>
      <c r="Y8" s="151"/>
      <c r="Z8" s="151"/>
      <c r="AA8" s="151"/>
      <c r="AB8" s="151"/>
      <c r="AC8" s="151"/>
      <c r="AD8" s="151"/>
      <c r="AE8" s="151"/>
      <c r="AF8" s="151"/>
      <c r="AG8" s="151"/>
      <c r="AH8" s="151"/>
      <c r="AI8" s="151"/>
      <c r="AJ8" s="151"/>
      <c r="AK8" s="151"/>
      <c r="AL8" s="151"/>
      <c r="AM8" s="151"/>
      <c r="AN8" s="151"/>
      <c r="AO8" s="151"/>
      <c r="AP8" s="151"/>
      <c r="AQ8" s="98"/>
      <c r="AR8" s="98"/>
      <c r="AS8" s="98"/>
      <c r="AT8" s="98"/>
      <c r="AU8" s="98"/>
      <c r="AV8" s="7"/>
      <c r="AW8" s="7"/>
      <c r="AX8" s="7"/>
      <c r="AY8" s="7"/>
      <c r="AZ8" s="7"/>
      <c r="BA8" s="7"/>
      <c r="BB8" s="7"/>
      <c r="BC8" s="7"/>
      <c r="BD8" s="7"/>
    </row>
    <row r="9" spans="1:56" ht="18.75" customHeight="1">
      <c r="A9" s="3"/>
      <c r="B9" s="145" t="s">
        <v>10</v>
      </c>
      <c r="C9" s="9">
        <v>1</v>
      </c>
      <c r="D9" s="9">
        <v>2</v>
      </c>
      <c r="E9" s="149" t="s">
        <v>11</v>
      </c>
      <c r="F9" s="25">
        <v>3</v>
      </c>
      <c r="G9" s="9">
        <v>4</v>
      </c>
      <c r="H9" s="9">
        <v>5</v>
      </c>
      <c r="I9" s="9">
        <v>6</v>
      </c>
      <c r="J9" s="9">
        <v>7</v>
      </c>
      <c r="K9" s="9">
        <v>8</v>
      </c>
      <c r="L9" s="9">
        <v>9</v>
      </c>
      <c r="M9" s="155" t="s">
        <v>11</v>
      </c>
      <c r="N9" s="9">
        <v>10</v>
      </c>
      <c r="O9" s="9">
        <v>11</v>
      </c>
      <c r="P9" s="9">
        <v>12</v>
      </c>
      <c r="Q9" s="9">
        <v>13</v>
      </c>
      <c r="R9" s="9">
        <v>14</v>
      </c>
      <c r="S9" s="9">
        <v>15</v>
      </c>
      <c r="T9" s="9">
        <v>16</v>
      </c>
      <c r="U9" s="149" t="s">
        <v>11</v>
      </c>
      <c r="V9" s="9">
        <v>17</v>
      </c>
      <c r="W9" s="9">
        <v>18</v>
      </c>
      <c r="X9" s="9">
        <v>19</v>
      </c>
      <c r="Y9" s="8">
        <v>20</v>
      </c>
      <c r="Z9" s="9">
        <v>21</v>
      </c>
      <c r="AA9" s="8">
        <v>22</v>
      </c>
      <c r="AB9" s="8">
        <v>23</v>
      </c>
      <c r="AC9" s="149" t="s">
        <v>11</v>
      </c>
      <c r="AD9" s="8">
        <v>24</v>
      </c>
      <c r="AE9" s="8">
        <v>25</v>
      </c>
      <c r="AF9" s="8">
        <v>26</v>
      </c>
      <c r="AG9" s="8">
        <v>27</v>
      </c>
      <c r="AH9" s="8">
        <v>28</v>
      </c>
      <c r="AI9" s="8">
        <v>29</v>
      </c>
      <c r="AJ9" s="8">
        <v>30</v>
      </c>
      <c r="AK9" s="149" t="s">
        <v>11</v>
      </c>
      <c r="AL9" s="8">
        <v>31</v>
      </c>
      <c r="AM9" s="149" t="s">
        <v>11</v>
      </c>
      <c r="AN9" s="157" t="s">
        <v>12</v>
      </c>
      <c r="AO9" s="191" t="s">
        <v>13</v>
      </c>
      <c r="AP9" s="168"/>
      <c r="AQ9" s="3"/>
      <c r="AR9" s="3"/>
      <c r="AS9" s="3"/>
      <c r="AT9" s="3"/>
      <c r="AU9" s="3"/>
      <c r="AV9" s="3"/>
      <c r="AW9" s="3"/>
      <c r="AX9" s="3"/>
      <c r="AY9" s="3"/>
    </row>
    <row r="10" spans="1:56" ht="15" customHeight="1">
      <c r="A10" s="3"/>
      <c r="B10" s="146"/>
      <c r="C10" s="10" t="s">
        <v>17</v>
      </c>
      <c r="D10" s="10" t="s">
        <v>18</v>
      </c>
      <c r="E10" s="150"/>
      <c r="F10" s="25" t="s">
        <v>19</v>
      </c>
      <c r="G10" s="10" t="s">
        <v>14</v>
      </c>
      <c r="H10" s="10" t="s">
        <v>14</v>
      </c>
      <c r="I10" s="10" t="s">
        <v>15</v>
      </c>
      <c r="J10" s="10" t="s">
        <v>16</v>
      </c>
      <c r="K10" s="10" t="s">
        <v>17</v>
      </c>
      <c r="L10" s="10" t="s">
        <v>18</v>
      </c>
      <c r="M10" s="156"/>
      <c r="N10" s="25" t="s">
        <v>19</v>
      </c>
      <c r="O10" s="10" t="s">
        <v>14</v>
      </c>
      <c r="P10" s="10" t="s">
        <v>14</v>
      </c>
      <c r="Q10" s="10" t="s">
        <v>15</v>
      </c>
      <c r="R10" s="10" t="s">
        <v>16</v>
      </c>
      <c r="S10" s="10" t="s">
        <v>17</v>
      </c>
      <c r="T10" s="10" t="s">
        <v>18</v>
      </c>
      <c r="U10" s="150"/>
      <c r="V10" s="25" t="s">
        <v>19</v>
      </c>
      <c r="W10" s="10" t="s">
        <v>14</v>
      </c>
      <c r="X10" s="10" t="s">
        <v>14</v>
      </c>
      <c r="Y10" s="10" t="s">
        <v>15</v>
      </c>
      <c r="Z10" s="10" t="s">
        <v>16</v>
      </c>
      <c r="AA10" s="10" t="s">
        <v>17</v>
      </c>
      <c r="AB10" s="10" t="s">
        <v>18</v>
      </c>
      <c r="AC10" s="150"/>
      <c r="AD10" s="25" t="s">
        <v>19</v>
      </c>
      <c r="AE10" s="10" t="s">
        <v>14</v>
      </c>
      <c r="AF10" s="10" t="s">
        <v>14</v>
      </c>
      <c r="AG10" s="10" t="s">
        <v>15</v>
      </c>
      <c r="AH10" s="10" t="s">
        <v>16</v>
      </c>
      <c r="AI10" s="10" t="s">
        <v>17</v>
      </c>
      <c r="AJ10" s="10" t="s">
        <v>18</v>
      </c>
      <c r="AK10" s="150"/>
      <c r="AL10" s="10" t="s">
        <v>19</v>
      </c>
      <c r="AM10" s="150"/>
      <c r="AN10" s="158"/>
      <c r="AO10" s="144"/>
      <c r="AP10" s="150"/>
      <c r="AQ10" s="3"/>
      <c r="AR10" s="3"/>
      <c r="AS10" s="3"/>
      <c r="AT10" s="3"/>
      <c r="AU10" s="3"/>
      <c r="AV10" s="3"/>
      <c r="AW10" s="3"/>
      <c r="AX10" s="3"/>
      <c r="AY10" s="3"/>
    </row>
    <row r="11" spans="1:56" s="1" customFormat="1" ht="19.5" customHeight="1">
      <c r="A11" s="11"/>
      <c r="B11" s="63" t="s">
        <v>47</v>
      </c>
      <c r="C11" s="91" t="s">
        <v>20</v>
      </c>
      <c r="D11" s="91" t="s">
        <v>19</v>
      </c>
      <c r="E11" s="91"/>
      <c r="F11" s="93" t="s">
        <v>19</v>
      </c>
      <c r="G11" s="13" t="s">
        <v>18</v>
      </c>
      <c r="H11" s="13" t="s">
        <v>20</v>
      </c>
      <c r="I11" s="13" t="s">
        <v>19</v>
      </c>
      <c r="J11" s="13" t="s">
        <v>19</v>
      </c>
      <c r="K11" s="13" t="s">
        <v>18</v>
      </c>
      <c r="L11" s="13" t="s">
        <v>20</v>
      </c>
      <c r="M11" s="13"/>
      <c r="N11" s="13" t="s">
        <v>19</v>
      </c>
      <c r="O11" s="13" t="s">
        <v>19</v>
      </c>
      <c r="P11" s="13" t="s">
        <v>18</v>
      </c>
      <c r="Q11" s="13" t="s">
        <v>20</v>
      </c>
      <c r="R11" s="13" t="s">
        <v>19</v>
      </c>
      <c r="S11" s="13" t="s">
        <v>19</v>
      </c>
      <c r="T11" s="13" t="s">
        <v>18</v>
      </c>
      <c r="U11" s="13"/>
      <c r="V11" s="13" t="s">
        <v>20</v>
      </c>
      <c r="W11" s="13" t="s">
        <v>19</v>
      </c>
      <c r="X11" s="13" t="s">
        <v>14</v>
      </c>
      <c r="Y11" s="13" t="s">
        <v>18</v>
      </c>
      <c r="Z11" s="13" t="s">
        <v>20</v>
      </c>
      <c r="AA11" s="13" t="s">
        <v>19</v>
      </c>
      <c r="AB11" s="13" t="s">
        <v>19</v>
      </c>
      <c r="AC11" s="13"/>
      <c r="AD11" s="13" t="s">
        <v>18</v>
      </c>
      <c r="AE11" s="13" t="s">
        <v>20</v>
      </c>
      <c r="AF11" s="13" t="s">
        <v>19</v>
      </c>
      <c r="AG11" s="13" t="s">
        <v>19</v>
      </c>
      <c r="AH11" s="13" t="s">
        <v>18</v>
      </c>
      <c r="AI11" s="13" t="s">
        <v>20</v>
      </c>
      <c r="AJ11" s="13" t="s">
        <v>19</v>
      </c>
      <c r="AK11" s="13"/>
      <c r="AL11" s="13" t="s">
        <v>19</v>
      </c>
      <c r="AM11" s="13"/>
      <c r="AN11" s="84"/>
      <c r="AO11" s="85"/>
      <c r="AP11" s="86"/>
      <c r="AQ11" s="11"/>
      <c r="AR11" s="11"/>
      <c r="AS11" s="11"/>
      <c r="AT11" s="11"/>
      <c r="AU11" s="11"/>
      <c r="AV11" s="11"/>
      <c r="AW11" s="11"/>
      <c r="AX11" s="11"/>
      <c r="AY11" s="11"/>
    </row>
    <row r="12" spans="1:56" s="1" customFormat="1" ht="19.5" customHeight="1">
      <c r="A12" s="11"/>
      <c r="B12" s="106" t="s">
        <v>46</v>
      </c>
      <c r="C12" s="91" t="s">
        <v>19</v>
      </c>
      <c r="D12" s="91" t="s">
        <v>19</v>
      </c>
      <c r="E12" s="92"/>
      <c r="F12" s="93" t="s">
        <v>18</v>
      </c>
      <c r="G12" s="13" t="s">
        <v>20</v>
      </c>
      <c r="H12" s="13" t="s">
        <v>19</v>
      </c>
      <c r="I12" s="13" t="s">
        <v>19</v>
      </c>
      <c r="J12" s="13" t="s">
        <v>18</v>
      </c>
      <c r="K12" s="13" t="s">
        <v>20</v>
      </c>
      <c r="L12" s="13" t="s">
        <v>19</v>
      </c>
      <c r="M12" s="14"/>
      <c r="N12" s="13" t="s">
        <v>19</v>
      </c>
      <c r="O12" s="13" t="s">
        <v>18</v>
      </c>
      <c r="P12" s="13" t="s">
        <v>20</v>
      </c>
      <c r="Q12" s="13" t="s">
        <v>19</v>
      </c>
      <c r="R12" s="13" t="s">
        <v>19</v>
      </c>
      <c r="S12" s="13" t="s">
        <v>18</v>
      </c>
      <c r="T12" s="13" t="s">
        <v>20</v>
      </c>
      <c r="U12" s="14"/>
      <c r="V12" s="13" t="s">
        <v>19</v>
      </c>
      <c r="W12" s="13" t="s">
        <v>19</v>
      </c>
      <c r="X12" s="13" t="s">
        <v>18</v>
      </c>
      <c r="Y12" s="13" t="s">
        <v>20</v>
      </c>
      <c r="Z12" s="13" t="s">
        <v>19</v>
      </c>
      <c r="AA12" s="13" t="s">
        <v>19</v>
      </c>
      <c r="AB12" s="13" t="s">
        <v>18</v>
      </c>
      <c r="AC12" s="14"/>
      <c r="AD12" s="13" t="s">
        <v>20</v>
      </c>
      <c r="AE12" s="13" t="s">
        <v>19</v>
      </c>
      <c r="AF12" s="13" t="s">
        <v>19</v>
      </c>
      <c r="AG12" s="13" t="s">
        <v>18</v>
      </c>
      <c r="AH12" s="13" t="s">
        <v>20</v>
      </c>
      <c r="AI12" s="13" t="s">
        <v>19</v>
      </c>
      <c r="AJ12" s="13" t="s">
        <v>19</v>
      </c>
      <c r="AK12" s="14"/>
      <c r="AL12" s="13" t="s">
        <v>18</v>
      </c>
      <c r="AM12" s="14"/>
      <c r="AN12" s="84"/>
      <c r="AO12" s="85"/>
      <c r="AP12" s="86"/>
      <c r="AQ12" s="11"/>
      <c r="AR12" s="11"/>
      <c r="AS12" s="11"/>
      <c r="AT12" s="11"/>
      <c r="AU12" s="11"/>
      <c r="AV12" s="11"/>
      <c r="AW12" s="11"/>
      <c r="AX12" s="11"/>
      <c r="AY12" s="11"/>
    </row>
    <row r="13" spans="1:56" ht="15.5">
      <c r="A13" s="61"/>
      <c r="B13" s="63" t="s">
        <v>66</v>
      </c>
      <c r="C13" s="91" t="s">
        <v>18</v>
      </c>
      <c r="D13" s="91" t="s">
        <v>20</v>
      </c>
      <c r="E13" s="92"/>
      <c r="F13" s="93" t="s">
        <v>19</v>
      </c>
      <c r="G13" s="13" t="s">
        <v>19</v>
      </c>
      <c r="H13" s="13" t="s">
        <v>18</v>
      </c>
      <c r="I13" s="13" t="s">
        <v>20</v>
      </c>
      <c r="J13" s="13" t="s">
        <v>19</v>
      </c>
      <c r="K13" s="13" t="s">
        <v>19</v>
      </c>
      <c r="L13" s="13" t="s">
        <v>18</v>
      </c>
      <c r="M13" s="14"/>
      <c r="N13" s="13" t="s">
        <v>20</v>
      </c>
      <c r="O13" s="13" t="s">
        <v>19</v>
      </c>
      <c r="P13" s="13" t="s">
        <v>19</v>
      </c>
      <c r="Q13" s="13" t="s">
        <v>18</v>
      </c>
      <c r="R13" s="13" t="s">
        <v>20</v>
      </c>
      <c r="S13" s="13" t="s">
        <v>19</v>
      </c>
      <c r="T13" s="13" t="s">
        <v>19</v>
      </c>
      <c r="U13" s="14"/>
      <c r="V13" s="13" t="s">
        <v>18</v>
      </c>
      <c r="W13" s="13" t="s">
        <v>20</v>
      </c>
      <c r="X13" s="13" t="s">
        <v>19</v>
      </c>
      <c r="Y13" s="13" t="s">
        <v>19</v>
      </c>
      <c r="Z13" s="13" t="s">
        <v>18</v>
      </c>
      <c r="AA13" s="13" t="s">
        <v>20</v>
      </c>
      <c r="AB13" s="13" t="s">
        <v>19</v>
      </c>
      <c r="AC13" s="14"/>
      <c r="AD13" s="13" t="s">
        <v>19</v>
      </c>
      <c r="AE13" s="13" t="s">
        <v>18</v>
      </c>
      <c r="AF13" s="13" t="s">
        <v>20</v>
      </c>
      <c r="AG13" s="13" t="s">
        <v>19</v>
      </c>
      <c r="AH13" s="13" t="s">
        <v>19</v>
      </c>
      <c r="AI13" s="13" t="s">
        <v>18</v>
      </c>
      <c r="AJ13" s="13" t="s">
        <v>20</v>
      </c>
      <c r="AK13" s="14"/>
      <c r="AL13" s="13" t="s">
        <v>19</v>
      </c>
      <c r="AM13" s="14"/>
      <c r="AN13" s="56"/>
      <c r="AO13" s="97"/>
      <c r="AP13" s="88"/>
      <c r="AQ13" s="61"/>
      <c r="AS13" s="171"/>
      <c r="AT13" s="137"/>
      <c r="AU13" s="137"/>
      <c r="AV13" s="137"/>
      <c r="AW13" s="137"/>
      <c r="AX13" s="137"/>
      <c r="AY13" s="137"/>
    </row>
    <row r="14" spans="1:56" ht="19.5" customHeight="1">
      <c r="A14" s="61"/>
      <c r="B14" s="106" t="s">
        <v>48</v>
      </c>
      <c r="C14" s="91" t="s">
        <v>19</v>
      </c>
      <c r="D14" s="91" t="s">
        <v>18</v>
      </c>
      <c r="E14" s="91"/>
      <c r="F14" s="93" t="s">
        <v>20</v>
      </c>
      <c r="G14" s="13" t="s">
        <v>19</v>
      </c>
      <c r="H14" s="13" t="s">
        <v>19</v>
      </c>
      <c r="I14" s="13" t="s">
        <v>18</v>
      </c>
      <c r="J14" s="13" t="s">
        <v>20</v>
      </c>
      <c r="K14" s="13" t="s">
        <v>19</v>
      </c>
      <c r="L14" s="13" t="s">
        <v>19</v>
      </c>
      <c r="M14" s="13"/>
      <c r="N14" s="13" t="s">
        <v>18</v>
      </c>
      <c r="O14" s="13" t="s">
        <v>20</v>
      </c>
      <c r="P14" s="13" t="s">
        <v>19</v>
      </c>
      <c r="Q14" s="13" t="s">
        <v>19</v>
      </c>
      <c r="R14" s="13" t="s">
        <v>18</v>
      </c>
      <c r="S14" s="13" t="s">
        <v>20</v>
      </c>
      <c r="T14" s="13" t="s">
        <v>19</v>
      </c>
      <c r="U14" s="13"/>
      <c r="V14" s="13" t="s">
        <v>19</v>
      </c>
      <c r="W14" s="13" t="s">
        <v>18</v>
      </c>
      <c r="X14" s="13" t="s">
        <v>20</v>
      </c>
      <c r="Y14" s="13" t="s">
        <v>19</v>
      </c>
      <c r="Z14" s="13" t="s">
        <v>19</v>
      </c>
      <c r="AA14" s="13" t="s">
        <v>18</v>
      </c>
      <c r="AB14" s="13" t="s">
        <v>20</v>
      </c>
      <c r="AC14" s="13"/>
      <c r="AD14" s="13" t="s">
        <v>19</v>
      </c>
      <c r="AE14" s="13" t="s">
        <v>19</v>
      </c>
      <c r="AF14" s="13" t="s">
        <v>18</v>
      </c>
      <c r="AG14" s="13" t="s">
        <v>20</v>
      </c>
      <c r="AH14" s="13" t="s">
        <v>19</v>
      </c>
      <c r="AI14" s="13" t="s">
        <v>19</v>
      </c>
      <c r="AJ14" s="13" t="s">
        <v>18</v>
      </c>
      <c r="AK14" s="13"/>
      <c r="AL14" s="13" t="s">
        <v>20</v>
      </c>
      <c r="AM14" s="13"/>
      <c r="AN14" s="56"/>
      <c r="AO14" s="97"/>
      <c r="AP14" s="88"/>
      <c r="AQ14" s="61"/>
      <c r="AR14" s="61"/>
      <c r="AS14" s="61"/>
    </row>
    <row r="15" spans="1:56" ht="15.5">
      <c r="A15" s="15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59"/>
      <c r="AO15" s="59"/>
      <c r="AP15" s="59"/>
      <c r="AQ15" s="15"/>
      <c r="AR15" s="15"/>
      <c r="AS15" s="15"/>
      <c r="AT15" s="15"/>
      <c r="AU15" s="15"/>
      <c r="AV15" s="15"/>
      <c r="AW15" s="15"/>
      <c r="AX15" s="15"/>
      <c r="AY15" s="15"/>
    </row>
    <row r="16" spans="1:56" ht="15.5">
      <c r="A16" s="15"/>
      <c r="B16" s="154" t="s">
        <v>9</v>
      </c>
      <c r="C16" s="154"/>
      <c r="D16" s="154"/>
      <c r="E16" s="154"/>
      <c r="F16" s="154"/>
      <c r="G16" s="154"/>
      <c r="H16" s="154"/>
      <c r="I16" s="154"/>
      <c r="J16" s="154"/>
      <c r="K16" s="154"/>
      <c r="L16" s="154"/>
      <c r="M16" s="154"/>
      <c r="N16" s="154"/>
      <c r="O16" s="154"/>
      <c r="P16" s="154"/>
      <c r="Q16" s="154"/>
      <c r="R16" s="154"/>
      <c r="S16" s="154"/>
      <c r="T16" s="154"/>
      <c r="U16" s="154"/>
      <c r="V16" s="154"/>
      <c r="W16" s="154"/>
      <c r="X16" s="154"/>
      <c r="Y16" s="154"/>
      <c r="Z16" s="154"/>
      <c r="AA16" s="154"/>
      <c r="AB16" s="154"/>
      <c r="AC16" s="154"/>
      <c r="AD16" s="154"/>
      <c r="AE16" s="154"/>
      <c r="AF16" s="154"/>
      <c r="AG16" s="154"/>
      <c r="AH16" s="154"/>
      <c r="AI16" s="154"/>
      <c r="AJ16" s="154"/>
      <c r="AK16" s="154"/>
      <c r="AL16" s="154"/>
      <c r="AM16" s="154"/>
      <c r="AN16" s="154"/>
      <c r="AO16" s="154"/>
      <c r="AP16" s="154"/>
      <c r="AQ16" s="1"/>
      <c r="AR16" s="1"/>
      <c r="AS16" s="1"/>
      <c r="AT16" s="1"/>
      <c r="AU16" s="1"/>
      <c r="AV16" s="15"/>
      <c r="AW16" s="15"/>
      <c r="AX16" s="15"/>
      <c r="AY16" s="15"/>
      <c r="AZ16" s="15"/>
      <c r="BA16" s="15"/>
      <c r="BB16" s="15"/>
      <c r="BC16" s="15"/>
      <c r="BD16" s="15"/>
    </row>
    <row r="17" spans="1:47" ht="18.75" customHeight="1">
      <c r="A17" s="3"/>
      <c r="B17" s="147" t="str">
        <f>+B9</f>
        <v>NOMBRE</v>
      </c>
      <c r="C17" s="9">
        <v>1</v>
      </c>
      <c r="D17" s="9">
        <v>2</v>
      </c>
      <c r="E17" s="149" t="s">
        <v>11</v>
      </c>
      <c r="F17" s="25">
        <v>3</v>
      </c>
      <c r="G17" s="9">
        <v>4</v>
      </c>
      <c r="H17" s="9">
        <v>5</v>
      </c>
      <c r="I17" s="9">
        <v>6</v>
      </c>
      <c r="J17" s="9">
        <v>7</v>
      </c>
      <c r="K17" s="9">
        <v>8</v>
      </c>
      <c r="L17" s="9">
        <v>9</v>
      </c>
      <c r="M17" s="155" t="s">
        <v>11</v>
      </c>
      <c r="N17" s="9">
        <v>10</v>
      </c>
      <c r="O17" s="9">
        <v>11</v>
      </c>
      <c r="P17" s="9">
        <v>12</v>
      </c>
      <c r="Q17" s="9">
        <v>13</v>
      </c>
      <c r="R17" s="9">
        <v>14</v>
      </c>
      <c r="S17" s="9">
        <v>15</v>
      </c>
      <c r="T17" s="9">
        <v>16</v>
      </c>
      <c r="U17" s="149" t="s">
        <v>11</v>
      </c>
      <c r="V17" s="9">
        <v>17</v>
      </c>
      <c r="W17" s="9">
        <v>18</v>
      </c>
      <c r="X17" s="9">
        <v>19</v>
      </c>
      <c r="Y17" s="8">
        <v>20</v>
      </c>
      <c r="Z17" s="9">
        <v>21</v>
      </c>
      <c r="AA17" s="8">
        <v>22</v>
      </c>
      <c r="AB17" s="8">
        <v>23</v>
      </c>
      <c r="AC17" s="149" t="s">
        <v>11</v>
      </c>
      <c r="AD17" s="8">
        <v>24</v>
      </c>
      <c r="AE17" s="8">
        <v>25</v>
      </c>
      <c r="AF17" s="8">
        <v>26</v>
      </c>
      <c r="AG17" s="8">
        <v>27</v>
      </c>
      <c r="AH17" s="8">
        <v>28</v>
      </c>
      <c r="AI17" s="8">
        <v>29</v>
      </c>
      <c r="AJ17" s="8">
        <v>30</v>
      </c>
      <c r="AK17" s="149" t="s">
        <v>11</v>
      </c>
      <c r="AL17" s="8">
        <v>31</v>
      </c>
      <c r="AM17" s="149" t="s">
        <v>11</v>
      </c>
      <c r="AN17" s="157" t="s">
        <v>12</v>
      </c>
      <c r="AO17" s="167" t="s">
        <v>24</v>
      </c>
      <c r="AP17" s="168"/>
    </row>
    <row r="18" spans="1:47" ht="13" customHeight="1">
      <c r="A18" s="3"/>
      <c r="B18" s="148"/>
      <c r="C18" s="10" t="s">
        <v>17</v>
      </c>
      <c r="D18" s="10" t="s">
        <v>18</v>
      </c>
      <c r="E18" s="150"/>
      <c r="F18" s="25" t="s">
        <v>19</v>
      </c>
      <c r="G18" s="10" t="s">
        <v>14</v>
      </c>
      <c r="H18" s="10" t="s">
        <v>14</v>
      </c>
      <c r="I18" s="10" t="s">
        <v>15</v>
      </c>
      <c r="J18" s="10" t="s">
        <v>16</v>
      </c>
      <c r="K18" s="10" t="s">
        <v>17</v>
      </c>
      <c r="L18" s="10" t="s">
        <v>18</v>
      </c>
      <c r="M18" s="156"/>
      <c r="N18" s="25" t="s">
        <v>19</v>
      </c>
      <c r="O18" s="10" t="s">
        <v>14</v>
      </c>
      <c r="P18" s="10" t="s">
        <v>14</v>
      </c>
      <c r="Q18" s="10" t="s">
        <v>15</v>
      </c>
      <c r="R18" s="10" t="s">
        <v>16</v>
      </c>
      <c r="S18" s="10" t="s">
        <v>17</v>
      </c>
      <c r="T18" s="10" t="s">
        <v>18</v>
      </c>
      <c r="U18" s="150"/>
      <c r="V18" s="25" t="s">
        <v>19</v>
      </c>
      <c r="W18" s="10" t="s">
        <v>14</v>
      </c>
      <c r="X18" s="10" t="s">
        <v>14</v>
      </c>
      <c r="Y18" s="10" t="s">
        <v>15</v>
      </c>
      <c r="Z18" s="10" t="s">
        <v>16</v>
      </c>
      <c r="AA18" s="10" t="s">
        <v>17</v>
      </c>
      <c r="AB18" s="10" t="s">
        <v>18</v>
      </c>
      <c r="AC18" s="150"/>
      <c r="AD18" s="25" t="s">
        <v>19</v>
      </c>
      <c r="AE18" s="10" t="s">
        <v>14</v>
      </c>
      <c r="AF18" s="10" t="s">
        <v>14</v>
      </c>
      <c r="AG18" s="10" t="s">
        <v>15</v>
      </c>
      <c r="AH18" s="10" t="s">
        <v>16</v>
      </c>
      <c r="AI18" s="10" t="s">
        <v>17</v>
      </c>
      <c r="AJ18" s="10" t="s">
        <v>18</v>
      </c>
      <c r="AK18" s="150"/>
      <c r="AL18" s="10" t="s">
        <v>19</v>
      </c>
      <c r="AM18" s="150"/>
      <c r="AN18" s="158"/>
      <c r="AO18" s="144"/>
      <c r="AP18" s="150"/>
    </row>
    <row r="19" spans="1:47" ht="16.5" customHeight="1">
      <c r="A19" s="15"/>
      <c r="B19" s="63" t="s">
        <v>47</v>
      </c>
      <c r="C19" s="16">
        <f t="shared" ref="C19:D22" si="0">VLOOKUP(C11,$O$30:$AC$35,14,0)</f>
        <v>11</v>
      </c>
      <c r="D19" s="16">
        <f t="shared" si="0"/>
        <v>0</v>
      </c>
      <c r="E19" s="17">
        <f>SUM(C19:D19)</f>
        <v>11</v>
      </c>
      <c r="F19" s="95">
        <f t="shared" ref="F19:L22" si="1">VLOOKUP(F11,$O$30:$AC$35,14,0)</f>
        <v>0</v>
      </c>
      <c r="G19" s="16">
        <f t="shared" si="1"/>
        <v>11</v>
      </c>
      <c r="H19" s="16">
        <f t="shared" si="1"/>
        <v>11</v>
      </c>
      <c r="I19" s="16">
        <f t="shared" si="1"/>
        <v>0</v>
      </c>
      <c r="J19" s="16">
        <f t="shared" si="1"/>
        <v>0</v>
      </c>
      <c r="K19" s="16">
        <f t="shared" si="1"/>
        <v>11</v>
      </c>
      <c r="L19" s="16">
        <f t="shared" si="1"/>
        <v>11</v>
      </c>
      <c r="M19" s="17">
        <f>SUM(F19:L19)</f>
        <v>44</v>
      </c>
      <c r="N19" s="16">
        <f t="shared" ref="N19:T22" si="2">VLOOKUP(N11,$O$30:$AC$35,14,0)</f>
        <v>0</v>
      </c>
      <c r="O19" s="16">
        <f t="shared" si="2"/>
        <v>0</v>
      </c>
      <c r="P19" s="16">
        <f t="shared" si="2"/>
        <v>11</v>
      </c>
      <c r="Q19" s="16">
        <f t="shared" si="2"/>
        <v>11</v>
      </c>
      <c r="R19" s="16">
        <f t="shared" si="2"/>
        <v>0</v>
      </c>
      <c r="S19" s="16">
        <f t="shared" si="2"/>
        <v>0</v>
      </c>
      <c r="T19" s="16">
        <f t="shared" si="2"/>
        <v>11</v>
      </c>
      <c r="U19" s="17">
        <f>SUM(N19:T19)</f>
        <v>33</v>
      </c>
      <c r="V19" s="16">
        <f t="shared" ref="V19:Z22" si="3">VLOOKUP(V11,$O$30:$AC$35,14,0)</f>
        <v>11</v>
      </c>
      <c r="W19" s="16">
        <f t="shared" si="3"/>
        <v>0</v>
      </c>
      <c r="X19" s="16">
        <f t="shared" si="3"/>
        <v>5</v>
      </c>
      <c r="Y19" s="16">
        <f t="shared" si="3"/>
        <v>11</v>
      </c>
      <c r="Z19" s="16">
        <f t="shared" si="3"/>
        <v>11</v>
      </c>
      <c r="AA19" s="16">
        <f t="shared" ref="AA19:AA22" si="4">VLOOKUP(AA11,$O$30:$AC$35,14,0)</f>
        <v>0</v>
      </c>
      <c r="AB19" s="16">
        <f t="shared" ref="AB19:AE19" si="5">VLOOKUP(AB11,$O$30:$AC$35,14,0)</f>
        <v>0</v>
      </c>
      <c r="AC19" s="17">
        <f>SUM(V19:AB19)</f>
        <v>38</v>
      </c>
      <c r="AD19" s="16">
        <f t="shared" si="5"/>
        <v>11</v>
      </c>
      <c r="AE19" s="16">
        <f t="shared" si="5"/>
        <v>11</v>
      </c>
      <c r="AF19" s="16">
        <f t="shared" ref="AF19:AF22" si="6">VLOOKUP(AF11,$O$30:$AC$35,14,0)</f>
        <v>0</v>
      </c>
      <c r="AG19" s="16">
        <f t="shared" ref="AG19:AL22" si="7">VLOOKUP(AG11,$O$30:$AC$35,14,0)</f>
        <v>0</v>
      </c>
      <c r="AH19" s="16">
        <f t="shared" si="7"/>
        <v>11</v>
      </c>
      <c r="AI19" s="16">
        <f t="shared" si="7"/>
        <v>11</v>
      </c>
      <c r="AJ19" s="16">
        <f t="shared" ref="AJ19" si="8">VLOOKUP(AJ11,$O$30:$AC$35,14,0)</f>
        <v>0</v>
      </c>
      <c r="AK19" s="17">
        <f>SUM(AD19:AJ19)</f>
        <v>44</v>
      </c>
      <c r="AL19" s="16">
        <f t="shared" si="7"/>
        <v>0</v>
      </c>
      <c r="AM19" s="17">
        <f>SUM(AL19)</f>
        <v>0</v>
      </c>
      <c r="AN19" s="56">
        <v>2</v>
      </c>
      <c r="AO19" s="110">
        <f>SUM(E19+M19+U19+AC19+AK19+AM19+AN19)</f>
        <v>172</v>
      </c>
      <c r="AP19" s="111"/>
      <c r="AR19" s="99"/>
    </row>
    <row r="20" spans="1:47" ht="19" customHeight="1">
      <c r="A20" s="15"/>
      <c r="B20" s="106" t="s">
        <v>46</v>
      </c>
      <c r="C20" s="16">
        <f t="shared" si="0"/>
        <v>0</v>
      </c>
      <c r="D20" s="16">
        <f t="shared" si="0"/>
        <v>0</v>
      </c>
      <c r="E20" s="17">
        <f>SUM(C20:D20)</f>
        <v>0</v>
      </c>
      <c r="F20" s="95">
        <f t="shared" si="1"/>
        <v>11</v>
      </c>
      <c r="G20" s="16">
        <f t="shared" si="1"/>
        <v>11</v>
      </c>
      <c r="H20" s="16">
        <f t="shared" si="1"/>
        <v>0</v>
      </c>
      <c r="I20" s="16">
        <f t="shared" si="1"/>
        <v>0</v>
      </c>
      <c r="J20" s="16">
        <f t="shared" si="1"/>
        <v>11</v>
      </c>
      <c r="K20" s="16">
        <f t="shared" si="1"/>
        <v>11</v>
      </c>
      <c r="L20" s="16">
        <f t="shared" si="1"/>
        <v>0</v>
      </c>
      <c r="M20" s="17">
        <f t="shared" ref="M20:M23" si="9">SUM(F20:L20)</f>
        <v>44</v>
      </c>
      <c r="N20" s="16">
        <f t="shared" si="2"/>
        <v>0</v>
      </c>
      <c r="O20" s="16">
        <f t="shared" si="2"/>
        <v>11</v>
      </c>
      <c r="P20" s="16">
        <f t="shared" si="2"/>
        <v>11</v>
      </c>
      <c r="Q20" s="16">
        <f t="shared" si="2"/>
        <v>0</v>
      </c>
      <c r="R20" s="16">
        <f t="shared" si="2"/>
        <v>0</v>
      </c>
      <c r="S20" s="16">
        <f t="shared" si="2"/>
        <v>11</v>
      </c>
      <c r="T20" s="16">
        <f t="shared" si="2"/>
        <v>11</v>
      </c>
      <c r="U20" s="17">
        <f t="shared" ref="U20:U23" si="10">SUM(N20:T20)</f>
        <v>44</v>
      </c>
      <c r="V20" s="16">
        <f t="shared" si="3"/>
        <v>0</v>
      </c>
      <c r="W20" s="16">
        <f t="shared" si="3"/>
        <v>0</v>
      </c>
      <c r="X20" s="16">
        <f t="shared" si="3"/>
        <v>11</v>
      </c>
      <c r="Y20" s="16">
        <f t="shared" si="3"/>
        <v>11</v>
      </c>
      <c r="Z20" s="16">
        <f t="shared" si="3"/>
        <v>0</v>
      </c>
      <c r="AA20" s="16">
        <f t="shared" si="4"/>
        <v>0</v>
      </c>
      <c r="AB20" s="16">
        <f t="shared" ref="AB20:AE20" si="11">VLOOKUP(AB12,$O$30:$AC$35,14,0)</f>
        <v>11</v>
      </c>
      <c r="AC20" s="17">
        <f>SUM(V20:AB20)</f>
        <v>33</v>
      </c>
      <c r="AD20" s="16">
        <f t="shared" si="11"/>
        <v>11</v>
      </c>
      <c r="AE20" s="16">
        <f t="shared" si="11"/>
        <v>0</v>
      </c>
      <c r="AF20" s="16">
        <f t="shared" si="6"/>
        <v>0</v>
      </c>
      <c r="AG20" s="16">
        <f t="shared" si="7"/>
        <v>11</v>
      </c>
      <c r="AH20" s="16">
        <f t="shared" si="7"/>
        <v>11</v>
      </c>
      <c r="AI20" s="16">
        <f t="shared" si="7"/>
        <v>0</v>
      </c>
      <c r="AJ20" s="16">
        <f t="shared" si="7"/>
        <v>0</v>
      </c>
      <c r="AK20" s="17">
        <f>SUM(AD20:AJ20)</f>
        <v>33</v>
      </c>
      <c r="AL20" s="16">
        <f t="shared" si="7"/>
        <v>11</v>
      </c>
      <c r="AM20" s="17">
        <f>SUM(AL20)</f>
        <v>11</v>
      </c>
      <c r="AN20" s="56">
        <v>2</v>
      </c>
      <c r="AO20" s="110">
        <f>SUM(E20+M20+U20+AC20+AK20+AM20+AN20)</f>
        <v>167</v>
      </c>
      <c r="AP20" s="111"/>
      <c r="AR20" s="99"/>
    </row>
    <row r="21" spans="1:47" ht="15.5">
      <c r="A21" s="15"/>
      <c r="B21" s="63" t="s">
        <v>66</v>
      </c>
      <c r="C21" s="16">
        <f t="shared" si="0"/>
        <v>11</v>
      </c>
      <c r="D21" s="16">
        <f t="shared" si="0"/>
        <v>11</v>
      </c>
      <c r="E21" s="17">
        <f>SUM(C21:D21)</f>
        <v>22</v>
      </c>
      <c r="F21" s="95">
        <f t="shared" si="1"/>
        <v>0</v>
      </c>
      <c r="G21" s="16">
        <f t="shared" si="1"/>
        <v>0</v>
      </c>
      <c r="H21" s="16">
        <f t="shared" si="1"/>
        <v>11</v>
      </c>
      <c r="I21" s="16">
        <f t="shared" si="1"/>
        <v>11</v>
      </c>
      <c r="J21" s="16">
        <f t="shared" si="1"/>
        <v>0</v>
      </c>
      <c r="K21" s="16">
        <f t="shared" si="1"/>
        <v>0</v>
      </c>
      <c r="L21" s="16">
        <f t="shared" si="1"/>
        <v>11</v>
      </c>
      <c r="M21" s="17">
        <f t="shared" si="9"/>
        <v>33</v>
      </c>
      <c r="N21" s="16">
        <f t="shared" si="2"/>
        <v>11</v>
      </c>
      <c r="O21" s="16">
        <f t="shared" si="2"/>
        <v>0</v>
      </c>
      <c r="P21" s="16">
        <f t="shared" si="2"/>
        <v>0</v>
      </c>
      <c r="Q21" s="16">
        <f t="shared" si="2"/>
        <v>11</v>
      </c>
      <c r="R21" s="16">
        <f t="shared" si="2"/>
        <v>11</v>
      </c>
      <c r="S21" s="16">
        <f t="shared" si="2"/>
        <v>0</v>
      </c>
      <c r="T21" s="16">
        <f t="shared" si="2"/>
        <v>0</v>
      </c>
      <c r="U21" s="17">
        <f t="shared" si="10"/>
        <v>33</v>
      </c>
      <c r="V21" s="16">
        <f t="shared" si="3"/>
        <v>11</v>
      </c>
      <c r="W21" s="16">
        <f t="shared" si="3"/>
        <v>11</v>
      </c>
      <c r="X21" s="16">
        <f t="shared" si="3"/>
        <v>0</v>
      </c>
      <c r="Y21" s="16">
        <f t="shared" si="3"/>
        <v>0</v>
      </c>
      <c r="Z21" s="16">
        <f t="shared" si="3"/>
        <v>11</v>
      </c>
      <c r="AA21" s="16">
        <f t="shared" si="4"/>
        <v>11</v>
      </c>
      <c r="AB21" s="16">
        <f t="shared" ref="AB21:AE21" si="12">VLOOKUP(AB13,$O$30:$AC$35,14,0)</f>
        <v>0</v>
      </c>
      <c r="AC21" s="17">
        <f>SUM(V21:AB21)</f>
        <v>44</v>
      </c>
      <c r="AD21" s="16">
        <f t="shared" si="12"/>
        <v>0</v>
      </c>
      <c r="AE21" s="16">
        <f t="shared" si="12"/>
        <v>11</v>
      </c>
      <c r="AF21" s="16">
        <f t="shared" si="6"/>
        <v>11</v>
      </c>
      <c r="AG21" s="16">
        <f t="shared" si="7"/>
        <v>0</v>
      </c>
      <c r="AH21" s="16">
        <f>VLOOKUP(AH13,$O$30:$AC$35,14,0)</f>
        <v>0</v>
      </c>
      <c r="AI21" s="16">
        <f t="shared" si="7"/>
        <v>11</v>
      </c>
      <c r="AJ21" s="16">
        <f t="shared" si="7"/>
        <v>11</v>
      </c>
      <c r="AK21" s="17">
        <f>SUM(AD21:AJ21)</f>
        <v>44</v>
      </c>
      <c r="AL21" s="16">
        <f t="shared" si="7"/>
        <v>0</v>
      </c>
      <c r="AM21" s="17">
        <f>SUM(AL21)</f>
        <v>0</v>
      </c>
      <c r="AN21" s="56">
        <v>2</v>
      </c>
      <c r="AO21" s="110">
        <f>SUM(E21+M21+U21+AC21+AK21+AM21+AN21)</f>
        <v>178</v>
      </c>
      <c r="AP21" s="111"/>
      <c r="AR21" s="99"/>
    </row>
    <row r="22" spans="1:47" ht="16.5" customHeight="1">
      <c r="A22" s="15"/>
      <c r="B22" s="106" t="s">
        <v>48</v>
      </c>
      <c r="C22" s="16">
        <f t="shared" si="0"/>
        <v>0</v>
      </c>
      <c r="D22" s="16">
        <f t="shared" si="0"/>
        <v>11</v>
      </c>
      <c r="E22" s="17">
        <f>SUM(C22:D22)</f>
        <v>11</v>
      </c>
      <c r="F22" s="95">
        <f t="shared" si="1"/>
        <v>11</v>
      </c>
      <c r="G22" s="16">
        <f t="shared" si="1"/>
        <v>0</v>
      </c>
      <c r="H22" s="16">
        <f t="shared" si="1"/>
        <v>0</v>
      </c>
      <c r="I22" s="16">
        <f t="shared" si="1"/>
        <v>11</v>
      </c>
      <c r="J22" s="16">
        <f t="shared" si="1"/>
        <v>11</v>
      </c>
      <c r="K22" s="16">
        <f t="shared" si="1"/>
        <v>0</v>
      </c>
      <c r="L22" s="16">
        <f t="shared" si="1"/>
        <v>0</v>
      </c>
      <c r="M22" s="17">
        <f t="shared" si="9"/>
        <v>33</v>
      </c>
      <c r="N22" s="16">
        <f t="shared" si="2"/>
        <v>11</v>
      </c>
      <c r="O22" s="16">
        <f t="shared" si="2"/>
        <v>11</v>
      </c>
      <c r="P22" s="16">
        <f t="shared" si="2"/>
        <v>0</v>
      </c>
      <c r="Q22" s="16">
        <f t="shared" si="2"/>
        <v>0</v>
      </c>
      <c r="R22" s="16">
        <f t="shared" si="2"/>
        <v>11</v>
      </c>
      <c r="S22" s="16">
        <f t="shared" si="2"/>
        <v>11</v>
      </c>
      <c r="T22" s="16">
        <f t="shared" si="2"/>
        <v>0</v>
      </c>
      <c r="U22" s="17">
        <f t="shared" si="10"/>
        <v>44</v>
      </c>
      <c r="V22" s="16">
        <f t="shared" si="3"/>
        <v>0</v>
      </c>
      <c r="W22" s="16">
        <f t="shared" si="3"/>
        <v>11</v>
      </c>
      <c r="X22" s="16">
        <f t="shared" si="3"/>
        <v>11</v>
      </c>
      <c r="Y22" s="16">
        <f t="shared" si="3"/>
        <v>0</v>
      </c>
      <c r="Z22" s="16">
        <f t="shared" si="3"/>
        <v>0</v>
      </c>
      <c r="AA22" s="16">
        <f t="shared" si="4"/>
        <v>11</v>
      </c>
      <c r="AB22" s="16">
        <f t="shared" ref="AB22:AE22" si="13">VLOOKUP(AB14,$O$30:$AC$35,14,0)</f>
        <v>11</v>
      </c>
      <c r="AC22" s="17">
        <f>SUM(V22:AB22)</f>
        <v>44</v>
      </c>
      <c r="AD22" s="16">
        <f t="shared" si="13"/>
        <v>0</v>
      </c>
      <c r="AE22" s="16">
        <f t="shared" si="13"/>
        <v>0</v>
      </c>
      <c r="AF22" s="16">
        <f t="shared" si="6"/>
        <v>11</v>
      </c>
      <c r="AG22" s="16">
        <f t="shared" si="7"/>
        <v>11</v>
      </c>
      <c r="AH22" s="16">
        <f>VLOOKUP(AH13,$O$30:$AC$35,14,0)</f>
        <v>0</v>
      </c>
      <c r="AI22" s="16">
        <f>VLOOKUP(AI14,$O$30:$AC$35,14,0)</f>
        <v>0</v>
      </c>
      <c r="AJ22" s="16">
        <f t="shared" si="7"/>
        <v>11</v>
      </c>
      <c r="AK22" s="17">
        <f>SUM(AD22:AJ22)</f>
        <v>33</v>
      </c>
      <c r="AL22" s="16">
        <f t="shared" si="7"/>
        <v>11</v>
      </c>
      <c r="AM22" s="17">
        <f>SUM(AL22)</f>
        <v>11</v>
      </c>
      <c r="AN22" s="56">
        <v>2</v>
      </c>
      <c r="AO22" s="110">
        <f>SUM(E22+M22+U22+AC22+AK22+AM22+AN22)</f>
        <v>178</v>
      </c>
      <c r="AP22" s="111"/>
      <c r="AR22" s="99"/>
    </row>
    <row r="23" spans="1:47" ht="23.15" customHeight="1">
      <c r="A23" s="15"/>
      <c r="B23" s="18" t="s">
        <v>25</v>
      </c>
      <c r="C23" s="19">
        <f>SUM(C19:C22)</f>
        <v>22</v>
      </c>
      <c r="D23" s="19">
        <f>SUM(D19:D22)</f>
        <v>22</v>
      </c>
      <c r="E23" s="17">
        <f>SUM(C23:D23)</f>
        <v>44</v>
      </c>
      <c r="F23" s="19">
        <f t="shared" ref="F23:J23" si="14">SUM(F19:F22)</f>
        <v>22</v>
      </c>
      <c r="G23" s="19">
        <f t="shared" si="14"/>
        <v>22</v>
      </c>
      <c r="H23" s="19">
        <f t="shared" si="14"/>
        <v>22</v>
      </c>
      <c r="I23" s="19">
        <f t="shared" si="14"/>
        <v>22</v>
      </c>
      <c r="J23" s="19">
        <f t="shared" si="14"/>
        <v>22</v>
      </c>
      <c r="K23" s="19">
        <f t="shared" ref="K23:AA23" si="15">SUM(K19:K22)</f>
        <v>22</v>
      </c>
      <c r="L23" s="19">
        <f t="shared" si="15"/>
        <v>22</v>
      </c>
      <c r="M23" s="17">
        <f t="shared" si="9"/>
        <v>154</v>
      </c>
      <c r="N23" s="19">
        <f t="shared" si="15"/>
        <v>22</v>
      </c>
      <c r="O23" s="19">
        <f t="shared" si="15"/>
        <v>22</v>
      </c>
      <c r="P23" s="19">
        <f t="shared" si="15"/>
        <v>22</v>
      </c>
      <c r="Q23" s="19">
        <f t="shared" si="15"/>
        <v>22</v>
      </c>
      <c r="R23" s="19">
        <f t="shared" si="15"/>
        <v>22</v>
      </c>
      <c r="S23" s="19">
        <f t="shared" si="15"/>
        <v>22</v>
      </c>
      <c r="T23" s="19">
        <f t="shared" si="15"/>
        <v>22</v>
      </c>
      <c r="U23" s="17">
        <f t="shared" si="10"/>
        <v>154</v>
      </c>
      <c r="V23" s="19">
        <f t="shared" si="15"/>
        <v>22</v>
      </c>
      <c r="W23" s="19">
        <f t="shared" si="15"/>
        <v>22</v>
      </c>
      <c r="X23" s="19">
        <f t="shared" si="15"/>
        <v>27</v>
      </c>
      <c r="Y23" s="19">
        <f t="shared" si="15"/>
        <v>22</v>
      </c>
      <c r="Z23" s="19">
        <f t="shared" si="15"/>
        <v>22</v>
      </c>
      <c r="AA23" s="19">
        <f t="shared" si="15"/>
        <v>22</v>
      </c>
      <c r="AB23" s="19">
        <f t="shared" ref="AB23:AE23" si="16">SUM(AB19:AB22)</f>
        <v>22</v>
      </c>
      <c r="AC23" s="17">
        <f>SUM(V23:AB23)</f>
        <v>159</v>
      </c>
      <c r="AD23" s="19">
        <f t="shared" si="16"/>
        <v>22</v>
      </c>
      <c r="AE23" s="19">
        <f t="shared" si="16"/>
        <v>22</v>
      </c>
      <c r="AF23" s="19">
        <f t="shared" ref="AF23:AL23" si="17">SUM(AF19:AF22)</f>
        <v>22</v>
      </c>
      <c r="AG23" s="19">
        <f t="shared" si="17"/>
        <v>22</v>
      </c>
      <c r="AH23" s="19">
        <f t="shared" si="17"/>
        <v>22</v>
      </c>
      <c r="AI23" s="19">
        <f t="shared" si="17"/>
        <v>22</v>
      </c>
      <c r="AJ23" s="19">
        <f t="shared" si="17"/>
        <v>22</v>
      </c>
      <c r="AK23" s="19">
        <f t="shared" si="17"/>
        <v>154</v>
      </c>
      <c r="AL23" s="19">
        <f t="shared" si="17"/>
        <v>22</v>
      </c>
      <c r="AM23" s="17">
        <f>SUM(Y23:AL23)</f>
        <v>577</v>
      </c>
      <c r="AN23" s="19">
        <f>SUM(AN19:AN22)</f>
        <v>8</v>
      </c>
      <c r="AO23" s="110">
        <f>SUM(AO19:AP22)</f>
        <v>695</v>
      </c>
      <c r="AP23" s="111"/>
    </row>
    <row r="24" spans="1:47" ht="15.75" customHeight="1">
      <c r="A24" s="15"/>
      <c r="B24" s="12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60"/>
    </row>
    <row r="25" spans="1:47" ht="15" customHeight="1">
      <c r="A25" s="15"/>
      <c r="B25" s="12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60"/>
    </row>
    <row r="26" spans="1:47" ht="25.5" customHeight="1">
      <c r="A26" s="15"/>
      <c r="B26" s="21" t="s">
        <v>26</v>
      </c>
      <c r="M26" s="26"/>
      <c r="N26" s="20"/>
      <c r="O26" s="20"/>
      <c r="P26" s="20"/>
      <c r="Q26" s="20"/>
      <c r="R26" s="20"/>
    </row>
    <row r="27" spans="1:47" ht="15.75" customHeight="1">
      <c r="A27" s="7"/>
      <c r="B27" s="15"/>
      <c r="M27" s="26"/>
    </row>
    <row r="28" spans="1:47" ht="15.75" customHeight="1">
      <c r="A28" s="7"/>
      <c r="B28" s="7"/>
      <c r="O28" s="172" t="s">
        <v>27</v>
      </c>
      <c r="P28" s="173"/>
      <c r="Q28" s="173"/>
      <c r="R28" s="173"/>
      <c r="S28" s="173"/>
      <c r="T28" s="173"/>
      <c r="U28" s="173"/>
      <c r="V28" s="173"/>
      <c r="W28" s="173"/>
      <c r="X28" s="173"/>
      <c r="Y28" s="173"/>
      <c r="Z28" s="173"/>
      <c r="AA28" s="173"/>
      <c r="AB28" s="173"/>
      <c r="AC28" s="173"/>
      <c r="AD28" s="173"/>
      <c r="AE28" s="174"/>
      <c r="AF28" s="173"/>
    </row>
    <row r="29" spans="1:47" ht="16.5" customHeight="1">
      <c r="A29" s="7"/>
      <c r="B29" s="7"/>
      <c r="O29" s="175" t="s">
        <v>28</v>
      </c>
      <c r="P29" s="176"/>
      <c r="Q29" s="176"/>
      <c r="R29" s="176"/>
      <c r="S29" s="175" t="s">
        <v>29</v>
      </c>
      <c r="T29" s="176"/>
      <c r="U29" s="176"/>
      <c r="V29" s="175" t="s">
        <v>30</v>
      </c>
      <c r="W29" s="176"/>
      <c r="X29" s="175" t="s">
        <v>31</v>
      </c>
      <c r="Y29" s="176"/>
      <c r="Z29" s="175" t="s">
        <v>32</v>
      </c>
      <c r="AA29" s="176"/>
      <c r="AB29" s="178" t="s">
        <v>24</v>
      </c>
      <c r="AC29" s="176"/>
      <c r="AD29" s="176"/>
      <c r="AE29" s="174"/>
      <c r="AF29" s="176"/>
    </row>
    <row r="30" spans="1:47" ht="28" customHeight="1">
      <c r="A30" s="7"/>
      <c r="B30" s="7"/>
      <c r="O30" s="45" t="s">
        <v>18</v>
      </c>
      <c r="P30" s="199" t="s">
        <v>33</v>
      </c>
      <c r="Q30" s="176"/>
      <c r="R30" s="176"/>
      <c r="S30" s="179">
        <v>0.25</v>
      </c>
      <c r="T30" s="180"/>
      <c r="U30" s="180"/>
      <c r="V30" s="179">
        <v>0.5</v>
      </c>
      <c r="W30" s="180"/>
      <c r="X30" s="179">
        <v>0.54166666666666696</v>
      </c>
      <c r="Y30" s="180"/>
      <c r="Z30" s="179">
        <v>0.75</v>
      </c>
      <c r="AA30" s="180"/>
      <c r="AB30" s="192">
        <v>11</v>
      </c>
      <c r="AC30" s="193"/>
      <c r="AD30" s="193"/>
      <c r="AE30" s="193"/>
      <c r="AF30" s="194"/>
    </row>
    <row r="31" spans="1:47" ht="18" customHeight="1">
      <c r="A31" s="7"/>
      <c r="B31" s="7"/>
      <c r="O31" s="45" t="s">
        <v>20</v>
      </c>
      <c r="P31" s="195" t="s">
        <v>34</v>
      </c>
      <c r="Q31" s="195"/>
      <c r="R31" s="195"/>
      <c r="S31" s="179">
        <v>0.75</v>
      </c>
      <c r="T31" s="179"/>
      <c r="U31" s="179"/>
      <c r="V31" s="179">
        <v>0.75</v>
      </c>
      <c r="W31" s="180"/>
      <c r="X31" s="179">
        <v>0.54166666666666696</v>
      </c>
      <c r="Y31" s="180"/>
      <c r="Z31" s="179">
        <v>0.75</v>
      </c>
      <c r="AA31" s="180"/>
      <c r="AB31" s="196">
        <v>11</v>
      </c>
      <c r="AC31" s="197"/>
      <c r="AD31" s="197"/>
      <c r="AE31" s="197"/>
      <c r="AF31" s="198"/>
    </row>
    <row r="32" spans="1:47" ht="15.75" customHeight="1">
      <c r="A32" s="7"/>
      <c r="B32" s="7"/>
      <c r="O32" s="45" t="s">
        <v>14</v>
      </c>
      <c r="P32" s="195" t="s">
        <v>35</v>
      </c>
      <c r="Q32" s="195"/>
      <c r="R32" s="195"/>
      <c r="S32" s="179">
        <v>0.33333333333333331</v>
      </c>
      <c r="T32" s="180"/>
      <c r="U32" s="180"/>
      <c r="V32" s="179">
        <v>0.54166666666666663</v>
      </c>
      <c r="W32" s="180"/>
      <c r="X32" s="179"/>
      <c r="Y32" s="179"/>
      <c r="Z32" s="179"/>
      <c r="AA32" s="180"/>
      <c r="AB32" s="196">
        <v>5</v>
      </c>
      <c r="AC32" s="197"/>
      <c r="AD32" s="197"/>
      <c r="AE32" s="197"/>
      <c r="AF32" s="198"/>
    </row>
    <row r="33" spans="1:49" ht="18" customHeight="1">
      <c r="A33" s="7"/>
      <c r="B33" s="7"/>
      <c r="O33" s="45" t="s">
        <v>22</v>
      </c>
      <c r="P33" s="195" t="s">
        <v>36</v>
      </c>
      <c r="Q33" s="195"/>
      <c r="R33" s="195"/>
      <c r="S33" s="179">
        <v>0.29166666666666702</v>
      </c>
      <c r="T33" s="180"/>
      <c r="U33" s="180"/>
      <c r="V33" s="179">
        <v>0.45833333333333298</v>
      </c>
      <c r="W33" s="180"/>
      <c r="X33" s="179"/>
      <c r="Y33" s="179"/>
      <c r="Z33" s="179"/>
      <c r="AA33" s="180"/>
      <c r="AB33" s="196">
        <v>4</v>
      </c>
      <c r="AC33" s="197"/>
      <c r="AD33" s="197"/>
      <c r="AE33" s="197"/>
      <c r="AF33" s="198"/>
    </row>
    <row r="34" spans="1:49" ht="18" customHeight="1">
      <c r="A34" s="7"/>
      <c r="B34" s="7"/>
      <c r="O34" s="45" t="s">
        <v>19</v>
      </c>
      <c r="P34" s="195" t="s">
        <v>37</v>
      </c>
      <c r="Q34" s="195"/>
      <c r="R34" s="195"/>
      <c r="S34" s="179"/>
      <c r="T34" s="180"/>
      <c r="U34" s="180"/>
      <c r="V34" s="179"/>
      <c r="W34" s="180"/>
      <c r="X34" s="179"/>
      <c r="Y34" s="179"/>
      <c r="Z34" s="179"/>
      <c r="AA34" s="180"/>
      <c r="AB34" s="196">
        <v>0</v>
      </c>
      <c r="AC34" s="197"/>
      <c r="AD34" s="197"/>
      <c r="AE34" s="197"/>
      <c r="AF34" s="198"/>
    </row>
    <row r="35" spans="1:49" ht="30.75" customHeight="1">
      <c r="A35" s="7"/>
      <c r="B35" s="22"/>
      <c r="O35" s="96" t="s">
        <v>12</v>
      </c>
      <c r="P35" s="200" t="s">
        <v>38</v>
      </c>
      <c r="Q35" s="200"/>
      <c r="R35" s="200"/>
      <c r="S35" s="179"/>
      <c r="T35" s="180"/>
      <c r="U35" s="180"/>
      <c r="V35" s="179"/>
      <c r="W35" s="180"/>
      <c r="X35" s="179"/>
      <c r="Y35" s="179"/>
      <c r="Z35" s="179"/>
      <c r="AA35" s="180"/>
      <c r="AB35" s="196">
        <v>3</v>
      </c>
      <c r="AC35" s="197"/>
      <c r="AD35" s="197"/>
      <c r="AE35" s="197"/>
      <c r="AF35" s="198"/>
    </row>
    <row r="36" spans="1:49" ht="19.5" customHeight="1">
      <c r="A36" s="7"/>
      <c r="G36" s="32"/>
      <c r="H36" s="32"/>
      <c r="I36" s="32"/>
      <c r="P36" s="44"/>
      <c r="Q36" s="44"/>
      <c r="R36" s="44"/>
    </row>
    <row r="37" spans="1:49" ht="19.5" customHeight="1">
      <c r="A37" s="7"/>
      <c r="B37" s="22"/>
      <c r="G37" s="32"/>
      <c r="H37" s="32"/>
      <c r="I37" s="32"/>
    </row>
    <row r="38" spans="1:49" ht="19.5" customHeight="1">
      <c r="A38" s="7"/>
      <c r="B38" s="22"/>
      <c r="G38" s="32"/>
      <c r="H38" s="32"/>
      <c r="I38" s="32"/>
    </row>
    <row r="39" spans="1:49" ht="19.5" customHeight="1">
      <c r="A39" s="7"/>
      <c r="G39" s="32"/>
      <c r="H39" s="32"/>
      <c r="I39" s="32"/>
      <c r="M39" s="33"/>
      <c r="N39" s="33"/>
      <c r="O39" s="33"/>
      <c r="P39" s="33"/>
      <c r="Q39" s="33"/>
      <c r="R39" s="33"/>
      <c r="S39" s="33"/>
      <c r="T39" s="33"/>
      <c r="U39" s="33"/>
      <c r="V39" s="33"/>
    </row>
    <row r="40" spans="1:49" ht="19.5" customHeight="1">
      <c r="A40" s="7"/>
      <c r="B40" s="134" t="s">
        <v>39</v>
      </c>
      <c r="C40" s="134"/>
      <c r="M40" s="34" t="s">
        <v>40</v>
      </c>
      <c r="N40" s="34"/>
      <c r="P40" s="34"/>
      <c r="Q40" s="34"/>
      <c r="R40" s="34"/>
      <c r="S40" s="34"/>
      <c r="T40" s="34"/>
      <c r="Z40" s="32"/>
      <c r="AA40" s="53"/>
      <c r="AB40" s="135" t="s">
        <v>41</v>
      </c>
      <c r="AC40" s="135"/>
      <c r="AD40" s="136"/>
      <c r="AE40" s="136"/>
      <c r="AF40" s="136"/>
      <c r="AG40" s="136"/>
      <c r="AH40" s="136"/>
      <c r="AI40" s="136"/>
      <c r="AJ40" s="136"/>
      <c r="AK40" s="136"/>
      <c r="AL40" s="136"/>
      <c r="AM40" s="137"/>
      <c r="AN40" s="138"/>
      <c r="AO40" s="138"/>
      <c r="AP40" s="138"/>
      <c r="AQ40" s="138"/>
      <c r="AR40" s="138"/>
      <c r="AS40" s="138"/>
      <c r="AT40" s="138"/>
      <c r="AU40" s="138"/>
      <c r="AV40" s="138"/>
      <c r="AW40" s="138"/>
    </row>
    <row r="41" spans="1:49" ht="19.5" customHeight="1">
      <c r="A41" s="7"/>
      <c r="B41" s="139" t="s">
        <v>42</v>
      </c>
      <c r="C41" s="139"/>
      <c r="M41" s="140" t="s">
        <v>43</v>
      </c>
      <c r="N41" s="140"/>
      <c r="O41" s="140"/>
      <c r="P41" s="140"/>
      <c r="Q41" s="140"/>
      <c r="R41" s="140"/>
      <c r="S41" s="140"/>
      <c r="T41" s="140"/>
      <c r="U41" s="140"/>
      <c r="V41" s="140"/>
      <c r="AA41" s="54"/>
      <c r="AB41" s="141" t="s">
        <v>44</v>
      </c>
      <c r="AC41" s="141"/>
      <c r="AD41" s="140"/>
      <c r="AE41" s="140"/>
      <c r="AF41" s="140"/>
      <c r="AG41" s="140"/>
      <c r="AH41" s="140"/>
      <c r="AI41" s="140"/>
      <c r="AJ41" s="140"/>
      <c r="AK41" s="140"/>
      <c r="AL41" s="140"/>
      <c r="AM41" s="140"/>
      <c r="AN41" s="141"/>
      <c r="AO41" s="141"/>
      <c r="AP41" s="141"/>
      <c r="AQ41" s="141"/>
      <c r="AR41" s="141"/>
      <c r="AS41" s="141"/>
      <c r="AT41" s="141"/>
      <c r="AU41" s="141"/>
      <c r="AV41" s="141"/>
      <c r="AW41" s="141"/>
    </row>
  </sheetData>
  <mergeCells count="80">
    <mergeCell ref="B17:B18"/>
    <mergeCell ref="E9:E10"/>
    <mergeCell ref="E17:E18"/>
    <mergeCell ref="B8:AP8"/>
    <mergeCell ref="AN17:AN18"/>
    <mergeCell ref="AO9:AP10"/>
    <mergeCell ref="AO17:AP18"/>
    <mergeCell ref="M17:M18"/>
    <mergeCell ref="U9:U10"/>
    <mergeCell ref="U17:U18"/>
    <mergeCell ref="AM9:AM10"/>
    <mergeCell ref="AM17:AM18"/>
    <mergeCell ref="AC9:AC10"/>
    <mergeCell ref="AK9:AK10"/>
    <mergeCell ref="AK17:AK18"/>
    <mergeCell ref="AC17:AC18"/>
    <mergeCell ref="AS13:AY13"/>
    <mergeCell ref="B16:AP16"/>
    <mergeCell ref="M9:M10"/>
    <mergeCell ref="AN9:AN10"/>
    <mergeCell ref="AC1:AP1"/>
    <mergeCell ref="AC2:AP2"/>
    <mergeCell ref="AC3:AP3"/>
    <mergeCell ref="AC4:AP4"/>
    <mergeCell ref="B1:B4"/>
    <mergeCell ref="B9:B10"/>
    <mergeCell ref="C1:AB4"/>
    <mergeCell ref="B40:C40"/>
    <mergeCell ref="AB40:AW40"/>
    <mergeCell ref="B41:C41"/>
    <mergeCell ref="M41:V41"/>
    <mergeCell ref="AB41:AW41"/>
    <mergeCell ref="AB34:AF34"/>
    <mergeCell ref="P35:R35"/>
    <mergeCell ref="S35:U35"/>
    <mergeCell ref="V35:W35"/>
    <mergeCell ref="X35:Y35"/>
    <mergeCell ref="Z35:AA35"/>
    <mergeCell ref="AB35:AF35"/>
    <mergeCell ref="P34:R34"/>
    <mergeCell ref="S34:U34"/>
    <mergeCell ref="V34:W34"/>
    <mergeCell ref="X34:Y34"/>
    <mergeCell ref="Z34:AA34"/>
    <mergeCell ref="AB32:AF32"/>
    <mergeCell ref="P33:R33"/>
    <mergeCell ref="S33:U33"/>
    <mergeCell ref="V33:W33"/>
    <mergeCell ref="X33:Y33"/>
    <mergeCell ref="Z33:AA33"/>
    <mergeCell ref="AB33:AF33"/>
    <mergeCell ref="P32:R32"/>
    <mergeCell ref="S32:U32"/>
    <mergeCell ref="V32:W32"/>
    <mergeCell ref="X32:Y32"/>
    <mergeCell ref="Z32:AA32"/>
    <mergeCell ref="AB30:AF30"/>
    <mergeCell ref="P31:R31"/>
    <mergeCell ref="S31:U31"/>
    <mergeCell ref="V31:W31"/>
    <mergeCell ref="X31:Y31"/>
    <mergeCell ref="Z31:AA31"/>
    <mergeCell ref="AB31:AF31"/>
    <mergeCell ref="P30:R30"/>
    <mergeCell ref="S30:U30"/>
    <mergeCell ref="V30:W30"/>
    <mergeCell ref="X30:Y30"/>
    <mergeCell ref="Z30:AA30"/>
    <mergeCell ref="O28:AF28"/>
    <mergeCell ref="O29:R29"/>
    <mergeCell ref="S29:U29"/>
    <mergeCell ref="V29:W29"/>
    <mergeCell ref="X29:Y29"/>
    <mergeCell ref="Z29:AA29"/>
    <mergeCell ref="AB29:AF29"/>
    <mergeCell ref="AO19:AP19"/>
    <mergeCell ref="AO20:AP20"/>
    <mergeCell ref="AO21:AP21"/>
    <mergeCell ref="AO22:AP22"/>
    <mergeCell ref="AO23:AP23"/>
  </mergeCells>
  <conditionalFormatting sqref="P32:P33">
    <cfRule type="cellIs" priority="2" operator="equal">
      <formula>#REF!</formula>
    </cfRule>
  </conditionalFormatting>
  <conditionalFormatting sqref="X30:X31">
    <cfRule type="cellIs" priority="1" operator="equal">
      <formula>#REF!</formula>
    </cfRule>
  </conditionalFormatting>
  <pageMargins left="0.70866141732283505" right="0.70866141732283505" top="0.74803149606299202" bottom="0.74803149606299202" header="0" footer="0"/>
  <pageSetup paperSize="9" scale="55" orientation="landscape"/>
  <ignoredErrors>
    <ignoredError sqref="AC19:AC23 E19:E23 M19:M23 U19:U23 AM23 AH22 AK19:AK22" formula="1"/>
  </ignoredError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  <pageSetUpPr fitToPage="1"/>
  </sheetPr>
  <dimension ref="A1:BC42"/>
  <sheetViews>
    <sheetView showGridLines="0" topLeftCell="A22" zoomScale="80" zoomScaleNormal="80" zoomScaleSheetLayoutView="90" workbookViewId="0">
      <pane xSplit="1" topLeftCell="B1" activePane="topRight" state="frozen"/>
      <selection pane="topRight" activeCell="Q32" sqref="Q32:S32"/>
    </sheetView>
  </sheetViews>
  <sheetFormatPr baseColWidth="10" defaultColWidth="12.58203125" defaultRowHeight="15" customHeight="1"/>
  <cols>
    <col min="1" max="1" width="3" style="2" customWidth="1"/>
    <col min="2" max="2" width="28.58203125" style="2" customWidth="1"/>
    <col min="3" max="3" width="3.25" style="2" customWidth="1"/>
    <col min="4" max="4" width="4.33203125" style="2" customWidth="1"/>
    <col min="5" max="5" width="4.25" style="2" customWidth="1"/>
    <col min="6" max="6" width="3.25" style="2" customWidth="1"/>
    <col min="7" max="7" width="3.83203125" style="2" customWidth="1"/>
    <col min="8" max="8" width="4.33203125" style="2" customWidth="1"/>
    <col min="9" max="11" width="3.25" style="2" customWidth="1"/>
    <col min="12" max="12" width="4.33203125" style="2" customWidth="1"/>
    <col min="13" max="13" width="4.83203125" style="2" customWidth="1"/>
    <col min="14" max="14" width="3.25" style="2" customWidth="1"/>
    <col min="15" max="16" width="4.33203125" style="2" customWidth="1"/>
    <col min="17" max="19" width="3.25" style="2" customWidth="1"/>
    <col min="20" max="21" width="4.33203125" style="2" customWidth="1"/>
    <col min="22" max="22" width="3.25" style="2" customWidth="1"/>
    <col min="23" max="24" width="4.33203125" style="2" customWidth="1"/>
    <col min="25" max="28" width="3.25" style="2" customWidth="1"/>
    <col min="29" max="29" width="4.83203125" style="2" customWidth="1"/>
    <col min="30" max="30" width="5.5" style="2" customWidth="1"/>
    <col min="31" max="31" width="4.33203125" style="2" customWidth="1"/>
    <col min="32" max="37" width="5.5" style="2" customWidth="1"/>
    <col min="38" max="39" width="4.33203125" style="2" customWidth="1"/>
    <col min="40" max="40" width="3.25" style="2" customWidth="1"/>
    <col min="41" max="42" width="4.33203125" style="2" customWidth="1"/>
    <col min="43" max="43" width="5.25" style="2" customWidth="1"/>
    <col min="44" max="44" width="4.25" style="2" customWidth="1"/>
    <col min="45" max="45" width="12.5" style="2" customWidth="1"/>
    <col min="46" max="46" width="9.33203125" style="2" customWidth="1"/>
    <col min="47" max="54" width="10" style="2" customWidth="1"/>
    <col min="55" max="16384" width="12.58203125" style="2"/>
  </cols>
  <sheetData>
    <row r="1" spans="1:55" ht="15.75" customHeight="1">
      <c r="A1" s="3"/>
      <c r="B1" s="142"/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  <c r="O1" s="160"/>
      <c r="P1" s="160"/>
      <c r="Q1" s="160"/>
      <c r="R1" s="160"/>
      <c r="S1" s="160"/>
      <c r="T1" s="160"/>
      <c r="U1" s="160"/>
      <c r="V1" s="160"/>
      <c r="W1" s="160"/>
      <c r="X1" s="160"/>
      <c r="Y1" s="160"/>
      <c r="Z1" s="160"/>
      <c r="AA1" s="160"/>
      <c r="AB1" s="160"/>
      <c r="AC1" s="159" t="s">
        <v>0</v>
      </c>
      <c r="AD1" s="160"/>
      <c r="AE1" s="160"/>
      <c r="AF1" s="160"/>
      <c r="AG1" s="160"/>
      <c r="AH1" s="160"/>
      <c r="AI1" s="160"/>
      <c r="AJ1" s="160"/>
      <c r="AK1" s="160"/>
      <c r="AL1" s="160"/>
      <c r="AM1" s="160"/>
      <c r="AN1" s="159"/>
      <c r="AO1" s="159"/>
      <c r="AP1" s="159"/>
      <c r="AQ1" s="57"/>
      <c r="AU1" s="6"/>
      <c r="AV1" s="6"/>
      <c r="AW1" s="6"/>
      <c r="AX1" s="3"/>
      <c r="AY1" s="3"/>
      <c r="AZ1" s="3"/>
      <c r="BA1" s="3"/>
      <c r="BB1" s="3"/>
      <c r="BC1" s="3"/>
    </row>
    <row r="2" spans="1:55" ht="15" customHeight="1">
      <c r="A2" s="3"/>
      <c r="B2" s="143"/>
      <c r="C2" s="160"/>
      <c r="D2" s="160"/>
      <c r="E2" s="160"/>
      <c r="F2" s="160"/>
      <c r="G2" s="160"/>
      <c r="H2" s="160"/>
      <c r="I2" s="160"/>
      <c r="J2" s="160"/>
      <c r="K2" s="160"/>
      <c r="L2" s="160"/>
      <c r="M2" s="160"/>
      <c r="N2" s="160"/>
      <c r="O2" s="160"/>
      <c r="P2" s="160"/>
      <c r="Q2" s="160"/>
      <c r="R2" s="160"/>
      <c r="S2" s="160"/>
      <c r="T2" s="160"/>
      <c r="U2" s="160"/>
      <c r="V2" s="160"/>
      <c r="W2" s="160"/>
      <c r="X2" s="160"/>
      <c r="Y2" s="160"/>
      <c r="Z2" s="160"/>
      <c r="AA2" s="160"/>
      <c r="AB2" s="160"/>
      <c r="AC2" s="161" t="s">
        <v>1</v>
      </c>
      <c r="AD2" s="160"/>
      <c r="AE2" s="160"/>
      <c r="AF2" s="160"/>
      <c r="AG2" s="160"/>
      <c r="AH2" s="160"/>
      <c r="AI2" s="160"/>
      <c r="AJ2" s="160"/>
      <c r="AK2" s="160"/>
      <c r="AL2" s="160"/>
      <c r="AM2" s="160"/>
      <c r="AN2" s="162"/>
      <c r="AO2" s="162"/>
      <c r="AP2" s="163"/>
      <c r="AQ2" s="57"/>
      <c r="AU2" s="6"/>
      <c r="AV2" s="6"/>
      <c r="AW2" s="6"/>
      <c r="AX2" s="3"/>
      <c r="AY2" s="3"/>
      <c r="AZ2" s="3"/>
      <c r="BA2" s="3"/>
      <c r="BB2" s="3"/>
      <c r="BC2" s="3"/>
    </row>
    <row r="3" spans="1:55" ht="20.25" customHeight="1">
      <c r="A3" s="3"/>
      <c r="B3" s="143"/>
      <c r="C3" s="160"/>
      <c r="D3" s="160"/>
      <c r="E3" s="160"/>
      <c r="F3" s="160"/>
      <c r="G3" s="160"/>
      <c r="H3" s="160"/>
      <c r="I3" s="160"/>
      <c r="J3" s="160"/>
      <c r="K3" s="160"/>
      <c r="L3" s="160"/>
      <c r="M3" s="160"/>
      <c r="N3" s="160"/>
      <c r="O3" s="160"/>
      <c r="P3" s="160"/>
      <c r="Q3" s="160"/>
      <c r="R3" s="160"/>
      <c r="S3" s="160"/>
      <c r="T3" s="160"/>
      <c r="U3" s="160"/>
      <c r="V3" s="160"/>
      <c r="W3" s="160"/>
      <c r="X3" s="160"/>
      <c r="Y3" s="160"/>
      <c r="Z3" s="160"/>
      <c r="AA3" s="160"/>
      <c r="AB3" s="160"/>
      <c r="AC3" s="161" t="s">
        <v>2</v>
      </c>
      <c r="AD3" s="160"/>
      <c r="AE3" s="160"/>
      <c r="AF3" s="160"/>
      <c r="AG3" s="160"/>
      <c r="AH3" s="160"/>
      <c r="AI3" s="160"/>
      <c r="AJ3" s="160"/>
      <c r="AK3" s="160"/>
      <c r="AL3" s="160"/>
      <c r="AM3" s="160"/>
      <c r="AN3" s="162"/>
      <c r="AO3" s="162"/>
      <c r="AP3" s="163"/>
      <c r="AQ3" s="57"/>
      <c r="AU3" s="6"/>
      <c r="AV3" s="6"/>
    </row>
    <row r="4" spans="1:55" ht="23.5" customHeight="1">
      <c r="A4" s="3"/>
      <c r="B4" s="144"/>
      <c r="C4" s="160"/>
      <c r="D4" s="160"/>
      <c r="E4" s="160"/>
      <c r="F4" s="160"/>
      <c r="G4" s="160"/>
      <c r="H4" s="160"/>
      <c r="I4" s="160"/>
      <c r="J4" s="160"/>
      <c r="K4" s="160"/>
      <c r="L4" s="160"/>
      <c r="M4" s="160"/>
      <c r="N4" s="160"/>
      <c r="O4" s="160"/>
      <c r="P4" s="160"/>
      <c r="Q4" s="160"/>
      <c r="R4" s="160"/>
      <c r="S4" s="160"/>
      <c r="T4" s="160"/>
      <c r="U4" s="160"/>
      <c r="V4" s="160"/>
      <c r="W4" s="160"/>
      <c r="X4" s="160"/>
      <c r="Y4" s="160"/>
      <c r="Z4" s="160"/>
      <c r="AA4" s="160"/>
      <c r="AB4" s="160"/>
      <c r="AC4" s="164" t="s">
        <v>3</v>
      </c>
      <c r="AD4" s="160"/>
      <c r="AE4" s="160"/>
      <c r="AF4" s="160"/>
      <c r="AG4" s="160"/>
      <c r="AH4" s="160"/>
      <c r="AI4" s="160"/>
      <c r="AJ4" s="160"/>
      <c r="AK4" s="160"/>
      <c r="AL4" s="160"/>
      <c r="AM4" s="160"/>
      <c r="AN4" s="165"/>
      <c r="AO4" s="165"/>
      <c r="AP4" s="166"/>
      <c r="AQ4" s="57"/>
      <c r="AU4" s="6"/>
      <c r="AV4" s="6"/>
    </row>
    <row r="5" spans="1:55" ht="18">
      <c r="A5" s="3"/>
      <c r="B5" s="4" t="s">
        <v>4</v>
      </c>
      <c r="C5" s="5" t="s">
        <v>5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3"/>
      <c r="AU5" s="3"/>
      <c r="AV5" s="3"/>
      <c r="AW5" s="3"/>
      <c r="AX5" s="3"/>
      <c r="AY5" s="3"/>
      <c r="AZ5" s="3"/>
      <c r="BA5" s="3"/>
      <c r="BB5" s="3"/>
    </row>
    <row r="6" spans="1:55" ht="18">
      <c r="A6" s="3"/>
      <c r="B6" s="4" t="s">
        <v>6</v>
      </c>
      <c r="C6" s="5" t="s">
        <v>56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3"/>
      <c r="AU6" s="3"/>
      <c r="AV6" s="3"/>
      <c r="AW6" s="3"/>
      <c r="AX6" s="3"/>
      <c r="AY6" s="3"/>
      <c r="AZ6" s="3"/>
      <c r="BA6" s="3"/>
      <c r="BB6" s="3"/>
    </row>
    <row r="7" spans="1:55" ht="18">
      <c r="A7" s="3"/>
      <c r="B7" s="6" t="s">
        <v>8</v>
      </c>
      <c r="C7" s="107" t="s">
        <v>69</v>
      </c>
      <c r="D7" s="107"/>
      <c r="E7" s="107"/>
      <c r="F7" s="107"/>
      <c r="G7" s="107"/>
      <c r="H7" s="107"/>
      <c r="I7" s="107"/>
      <c r="J7" s="107"/>
      <c r="K7" s="107"/>
      <c r="L7" s="107"/>
      <c r="M7" s="107"/>
      <c r="N7" s="107"/>
      <c r="O7" s="107"/>
      <c r="P7" s="107"/>
      <c r="Q7" s="107"/>
      <c r="R7" s="107"/>
      <c r="S7" s="107"/>
      <c r="T7" s="107"/>
      <c r="U7" s="107"/>
      <c r="V7" s="107"/>
      <c r="W7" s="107"/>
      <c r="X7" s="107"/>
      <c r="Y7" s="107"/>
      <c r="Z7" s="107"/>
      <c r="AA7" s="107"/>
      <c r="AB7" s="107"/>
      <c r="AC7" s="107"/>
      <c r="AD7" s="107"/>
      <c r="AE7" s="107"/>
      <c r="AF7" s="107"/>
      <c r="AG7" s="107"/>
      <c r="AH7" s="107"/>
      <c r="AI7" s="107"/>
      <c r="AJ7" s="107"/>
      <c r="AK7" s="107"/>
      <c r="AL7" s="107"/>
      <c r="AM7" s="107"/>
      <c r="AN7" s="107"/>
      <c r="AO7" s="107"/>
      <c r="AP7" s="107"/>
      <c r="AQ7" s="107"/>
      <c r="AR7" s="107"/>
      <c r="AS7" s="107"/>
      <c r="AT7" s="3"/>
      <c r="AU7" s="3"/>
      <c r="AV7" s="3"/>
      <c r="AW7" s="3"/>
      <c r="AX7" s="3"/>
      <c r="AY7" s="3"/>
      <c r="AZ7" s="3"/>
      <c r="BA7" s="3"/>
      <c r="BB7" s="3"/>
    </row>
    <row r="8" spans="1:55" ht="15.5">
      <c r="A8" s="7"/>
      <c r="B8" s="151" t="s">
        <v>9</v>
      </c>
      <c r="C8" s="151"/>
      <c r="D8" s="151"/>
      <c r="E8" s="151"/>
      <c r="F8" s="151"/>
      <c r="G8" s="151"/>
      <c r="H8" s="151"/>
      <c r="I8" s="151"/>
      <c r="J8" s="151"/>
      <c r="K8" s="151"/>
      <c r="L8" s="151"/>
      <c r="M8" s="151"/>
      <c r="N8" s="151"/>
      <c r="O8" s="151"/>
      <c r="P8" s="151"/>
      <c r="Q8" s="151"/>
      <c r="R8" s="151"/>
      <c r="S8" s="151"/>
      <c r="T8" s="151"/>
      <c r="U8" s="151"/>
      <c r="V8" s="151"/>
      <c r="W8" s="151"/>
      <c r="X8" s="151"/>
      <c r="Y8" s="151"/>
      <c r="Z8" s="151"/>
      <c r="AA8" s="151"/>
      <c r="AB8" s="151"/>
      <c r="AC8" s="151"/>
      <c r="AD8" s="151"/>
      <c r="AE8" s="151"/>
      <c r="AF8" s="151"/>
      <c r="AG8" s="151"/>
      <c r="AH8" s="151"/>
      <c r="AI8" s="151"/>
      <c r="AJ8" s="151"/>
      <c r="AK8" s="151"/>
      <c r="AL8" s="151"/>
      <c r="AM8" s="151"/>
      <c r="AN8" s="151"/>
      <c r="AO8" s="151"/>
      <c r="AP8" s="151"/>
      <c r="AQ8" s="58"/>
      <c r="AR8" s="58"/>
      <c r="AS8" s="58"/>
      <c r="AT8" s="7"/>
      <c r="AU8" s="7"/>
      <c r="AV8" s="7"/>
      <c r="AW8" s="7"/>
      <c r="AX8" s="7"/>
      <c r="AY8" s="7"/>
      <c r="AZ8" s="7"/>
      <c r="BA8" s="7"/>
      <c r="BB8" s="7"/>
    </row>
    <row r="9" spans="1:55" ht="18.75" customHeight="1">
      <c r="A9" s="3"/>
      <c r="B9" s="206" t="s">
        <v>10</v>
      </c>
      <c r="C9" s="9">
        <v>1</v>
      </c>
      <c r="D9" s="9">
        <v>2</v>
      </c>
      <c r="E9" s="149" t="s">
        <v>11</v>
      </c>
      <c r="F9" s="25">
        <v>3</v>
      </c>
      <c r="G9" s="9">
        <v>4</v>
      </c>
      <c r="H9" s="9">
        <v>5</v>
      </c>
      <c r="I9" s="9">
        <v>6</v>
      </c>
      <c r="J9" s="9">
        <v>7</v>
      </c>
      <c r="K9" s="9">
        <v>8</v>
      </c>
      <c r="L9" s="9">
        <v>9</v>
      </c>
      <c r="M9" s="155" t="s">
        <v>11</v>
      </c>
      <c r="N9" s="9">
        <v>10</v>
      </c>
      <c r="O9" s="9">
        <v>11</v>
      </c>
      <c r="P9" s="9">
        <v>12</v>
      </c>
      <c r="Q9" s="9">
        <v>13</v>
      </c>
      <c r="R9" s="9">
        <v>14</v>
      </c>
      <c r="S9" s="9">
        <v>15</v>
      </c>
      <c r="T9" s="9">
        <v>16</v>
      </c>
      <c r="U9" s="149" t="s">
        <v>11</v>
      </c>
      <c r="V9" s="9">
        <v>17</v>
      </c>
      <c r="W9" s="9">
        <v>18</v>
      </c>
      <c r="X9" s="9">
        <v>19</v>
      </c>
      <c r="Y9" s="8">
        <v>20</v>
      </c>
      <c r="Z9" s="9">
        <v>21</v>
      </c>
      <c r="AA9" s="8">
        <v>22</v>
      </c>
      <c r="AB9" s="8">
        <v>23</v>
      </c>
      <c r="AC9" s="149" t="s">
        <v>11</v>
      </c>
      <c r="AD9" s="8">
        <v>24</v>
      </c>
      <c r="AE9" s="8">
        <v>25</v>
      </c>
      <c r="AF9" s="8">
        <v>26</v>
      </c>
      <c r="AG9" s="8">
        <v>27</v>
      </c>
      <c r="AH9" s="8">
        <v>28</v>
      </c>
      <c r="AI9" s="8">
        <v>29</v>
      </c>
      <c r="AJ9" s="8">
        <v>30</v>
      </c>
      <c r="AK9" s="149" t="s">
        <v>11</v>
      </c>
      <c r="AL9" s="8">
        <v>31</v>
      </c>
      <c r="AM9" s="149" t="s">
        <v>11</v>
      </c>
      <c r="AN9" s="157" t="s">
        <v>12</v>
      </c>
      <c r="AO9" s="191" t="s">
        <v>13</v>
      </c>
      <c r="AP9" s="201"/>
      <c r="AQ9" s="3"/>
      <c r="AR9" s="3"/>
      <c r="AS9" s="3"/>
      <c r="AT9" s="3"/>
      <c r="AU9" s="3"/>
      <c r="AV9" s="3"/>
      <c r="AW9" s="3"/>
      <c r="AX9" s="3"/>
      <c r="AY9" s="3"/>
    </row>
    <row r="10" spans="1:55" ht="15" customHeight="1">
      <c r="A10" s="3"/>
      <c r="B10" s="146"/>
      <c r="C10" s="10" t="s">
        <v>17</v>
      </c>
      <c r="D10" s="10" t="s">
        <v>18</v>
      </c>
      <c r="E10" s="150"/>
      <c r="F10" s="25" t="s">
        <v>19</v>
      </c>
      <c r="G10" s="10" t="s">
        <v>14</v>
      </c>
      <c r="H10" s="10" t="s">
        <v>14</v>
      </c>
      <c r="I10" s="10" t="s">
        <v>15</v>
      </c>
      <c r="J10" s="10" t="s">
        <v>16</v>
      </c>
      <c r="K10" s="10" t="s">
        <v>17</v>
      </c>
      <c r="L10" s="10" t="s">
        <v>18</v>
      </c>
      <c r="M10" s="156"/>
      <c r="N10" s="10" t="s">
        <v>19</v>
      </c>
      <c r="O10" s="10" t="s">
        <v>14</v>
      </c>
      <c r="P10" s="10" t="s">
        <v>14</v>
      </c>
      <c r="Q10" s="10" t="s">
        <v>15</v>
      </c>
      <c r="R10" s="10" t="s">
        <v>16</v>
      </c>
      <c r="S10" s="10" t="s">
        <v>17</v>
      </c>
      <c r="T10" s="10" t="s">
        <v>18</v>
      </c>
      <c r="U10" s="150"/>
      <c r="V10" s="10" t="s">
        <v>19</v>
      </c>
      <c r="W10" s="10" t="s">
        <v>14</v>
      </c>
      <c r="X10" s="10" t="s">
        <v>14</v>
      </c>
      <c r="Y10" s="10" t="s">
        <v>15</v>
      </c>
      <c r="Z10" s="10" t="s">
        <v>16</v>
      </c>
      <c r="AA10" s="10" t="s">
        <v>17</v>
      </c>
      <c r="AB10" s="10" t="s">
        <v>18</v>
      </c>
      <c r="AC10" s="150"/>
      <c r="AD10" s="10" t="s">
        <v>19</v>
      </c>
      <c r="AE10" s="10" t="s">
        <v>14</v>
      </c>
      <c r="AF10" s="10" t="s">
        <v>14</v>
      </c>
      <c r="AG10" s="10" t="s">
        <v>15</v>
      </c>
      <c r="AH10" s="10" t="s">
        <v>16</v>
      </c>
      <c r="AI10" s="10" t="s">
        <v>17</v>
      </c>
      <c r="AJ10" s="10" t="s">
        <v>18</v>
      </c>
      <c r="AK10" s="150"/>
      <c r="AL10" s="10" t="s">
        <v>19</v>
      </c>
      <c r="AM10" s="150"/>
      <c r="AN10" s="158"/>
      <c r="AO10" s="191"/>
      <c r="AP10" s="201"/>
      <c r="AQ10" s="3"/>
      <c r="AR10" s="3"/>
      <c r="AS10" s="3"/>
      <c r="AT10" s="3"/>
      <c r="AU10" s="3"/>
      <c r="AV10" s="3"/>
      <c r="AW10" s="3"/>
      <c r="AX10" s="3"/>
      <c r="AY10" s="3"/>
    </row>
    <row r="11" spans="1:55" s="1" customFormat="1" ht="19.5" customHeight="1">
      <c r="A11" s="11"/>
      <c r="B11" s="12" t="s">
        <v>57</v>
      </c>
      <c r="C11" s="13" t="s">
        <v>19</v>
      </c>
      <c r="D11" s="13" t="s">
        <v>19</v>
      </c>
      <c r="E11" s="14"/>
      <c r="F11" s="13" t="s">
        <v>18</v>
      </c>
      <c r="G11" s="13" t="s">
        <v>18</v>
      </c>
      <c r="H11" s="13" t="s">
        <v>52</v>
      </c>
      <c r="I11" s="13" t="s">
        <v>52</v>
      </c>
      <c r="J11" s="94" t="s">
        <v>19</v>
      </c>
      <c r="K11" s="13" t="s">
        <v>19</v>
      </c>
      <c r="L11" s="13" t="s">
        <v>19</v>
      </c>
      <c r="M11" s="14"/>
      <c r="N11" s="13" t="s">
        <v>18</v>
      </c>
      <c r="O11" s="13" t="s">
        <v>18</v>
      </c>
      <c r="P11" s="13" t="s">
        <v>18</v>
      </c>
      <c r="Q11" s="13" t="s">
        <v>52</v>
      </c>
      <c r="R11" s="13" t="s">
        <v>52</v>
      </c>
      <c r="S11" s="13" t="s">
        <v>19</v>
      </c>
      <c r="T11" s="13" t="s">
        <v>19</v>
      </c>
      <c r="U11" s="14"/>
      <c r="V11" s="94" t="s">
        <v>19</v>
      </c>
      <c r="W11" s="13" t="s">
        <v>18</v>
      </c>
      <c r="X11" s="13" t="s">
        <v>18</v>
      </c>
      <c r="Y11" s="13" t="s">
        <v>52</v>
      </c>
      <c r="Z11" s="13" t="s">
        <v>52</v>
      </c>
      <c r="AA11" s="13" t="s">
        <v>19</v>
      </c>
      <c r="AB11" s="13" t="s">
        <v>19</v>
      </c>
      <c r="AC11" s="14"/>
      <c r="AD11" s="13" t="s">
        <v>18</v>
      </c>
      <c r="AE11" s="13" t="s">
        <v>18</v>
      </c>
      <c r="AF11" s="13" t="s">
        <v>18</v>
      </c>
      <c r="AG11" s="13" t="s">
        <v>52</v>
      </c>
      <c r="AH11" s="13" t="s">
        <v>52</v>
      </c>
      <c r="AI11" s="13" t="s">
        <v>19</v>
      </c>
      <c r="AJ11" s="13" t="s">
        <v>19</v>
      </c>
      <c r="AK11" s="14"/>
      <c r="AL11" s="13" t="s">
        <v>18</v>
      </c>
      <c r="AM11" s="14"/>
      <c r="AN11" s="55"/>
      <c r="AO11" s="202"/>
      <c r="AP11" s="203"/>
      <c r="AQ11" s="11"/>
      <c r="AR11" s="11"/>
      <c r="AS11" s="11"/>
      <c r="AT11" s="11"/>
      <c r="AU11" s="11"/>
      <c r="AV11" s="11"/>
      <c r="AW11" s="11"/>
      <c r="AX11" s="11"/>
      <c r="AY11" s="11"/>
    </row>
    <row r="12" spans="1:55" customFormat="1" ht="19.5" customHeight="1">
      <c r="A12" s="61"/>
      <c r="B12" s="62" t="s">
        <v>72</v>
      </c>
      <c r="C12" s="13" t="s">
        <v>19</v>
      </c>
      <c r="D12" s="13" t="s">
        <v>19</v>
      </c>
      <c r="E12" s="14"/>
      <c r="F12" s="13" t="s">
        <v>18</v>
      </c>
      <c r="G12" s="13" t="s">
        <v>18</v>
      </c>
      <c r="H12" s="13" t="s">
        <v>52</v>
      </c>
      <c r="I12" s="13" t="s">
        <v>52</v>
      </c>
      <c r="J12" s="94" t="s">
        <v>19</v>
      </c>
      <c r="K12" s="13" t="s">
        <v>19</v>
      </c>
      <c r="L12" s="13" t="s">
        <v>19</v>
      </c>
      <c r="M12" s="14"/>
      <c r="N12" s="13" t="s">
        <v>18</v>
      </c>
      <c r="O12" s="13" t="s">
        <v>18</v>
      </c>
      <c r="P12" s="13" t="s">
        <v>18</v>
      </c>
      <c r="Q12" s="13" t="s">
        <v>52</v>
      </c>
      <c r="R12" s="13" t="s">
        <v>52</v>
      </c>
      <c r="S12" s="13" t="s">
        <v>19</v>
      </c>
      <c r="T12" s="13" t="s">
        <v>19</v>
      </c>
      <c r="U12" s="14"/>
      <c r="V12" s="94" t="s">
        <v>19</v>
      </c>
      <c r="W12" s="13" t="s">
        <v>18</v>
      </c>
      <c r="X12" s="13" t="s">
        <v>18</v>
      </c>
      <c r="Y12" s="13" t="s">
        <v>52</v>
      </c>
      <c r="Z12" s="13" t="s">
        <v>52</v>
      </c>
      <c r="AA12" s="13" t="s">
        <v>19</v>
      </c>
      <c r="AB12" s="13" t="s">
        <v>19</v>
      </c>
      <c r="AC12" s="14"/>
      <c r="AD12" s="13" t="s">
        <v>18</v>
      </c>
      <c r="AE12" s="13" t="s">
        <v>18</v>
      </c>
      <c r="AF12" s="13" t="s">
        <v>18</v>
      </c>
      <c r="AG12" s="13" t="s">
        <v>52</v>
      </c>
      <c r="AH12" s="13" t="s">
        <v>52</v>
      </c>
      <c r="AI12" s="13" t="s">
        <v>19</v>
      </c>
      <c r="AJ12" s="13" t="s">
        <v>19</v>
      </c>
      <c r="AK12" s="14"/>
      <c r="AL12" s="13" t="s">
        <v>18</v>
      </c>
      <c r="AM12" s="14"/>
      <c r="AN12" s="55"/>
      <c r="AO12" s="202"/>
      <c r="AP12" s="203"/>
      <c r="AQ12" s="61"/>
      <c r="AR12" s="2"/>
      <c r="AS12" s="171"/>
      <c r="AT12" s="137"/>
      <c r="AU12" s="137"/>
      <c r="AV12" s="137"/>
      <c r="AW12" s="137"/>
      <c r="AX12" s="137"/>
      <c r="AY12" s="137"/>
    </row>
    <row r="13" spans="1:55" s="1" customFormat="1" ht="19.5" customHeight="1">
      <c r="A13" s="11"/>
      <c r="B13" s="62" t="s">
        <v>58</v>
      </c>
      <c r="C13" s="13" t="s">
        <v>19</v>
      </c>
      <c r="D13" s="13" t="s">
        <v>19</v>
      </c>
      <c r="E13" s="14"/>
      <c r="F13" s="13" t="s">
        <v>18</v>
      </c>
      <c r="G13" s="13" t="s">
        <v>18</v>
      </c>
      <c r="H13" s="13" t="s">
        <v>52</v>
      </c>
      <c r="I13" s="13" t="s">
        <v>52</v>
      </c>
      <c r="J13" s="94" t="s">
        <v>19</v>
      </c>
      <c r="K13" s="13" t="s">
        <v>19</v>
      </c>
      <c r="L13" s="13" t="s">
        <v>19</v>
      </c>
      <c r="M13" s="14"/>
      <c r="N13" s="13" t="s">
        <v>18</v>
      </c>
      <c r="O13" s="13" t="s">
        <v>18</v>
      </c>
      <c r="P13" s="13" t="s">
        <v>18</v>
      </c>
      <c r="Q13" s="13" t="s">
        <v>52</v>
      </c>
      <c r="R13" s="13" t="s">
        <v>52</v>
      </c>
      <c r="S13" s="13" t="s">
        <v>19</v>
      </c>
      <c r="T13" s="13" t="s">
        <v>19</v>
      </c>
      <c r="U13" s="14"/>
      <c r="V13" s="94" t="s">
        <v>19</v>
      </c>
      <c r="W13" s="13" t="s">
        <v>18</v>
      </c>
      <c r="X13" s="13" t="s">
        <v>18</v>
      </c>
      <c r="Y13" s="13" t="s">
        <v>52</v>
      </c>
      <c r="Z13" s="13" t="s">
        <v>52</v>
      </c>
      <c r="AA13" s="13" t="s">
        <v>19</v>
      </c>
      <c r="AB13" s="13" t="s">
        <v>19</v>
      </c>
      <c r="AC13" s="14"/>
      <c r="AD13" s="13" t="s">
        <v>18</v>
      </c>
      <c r="AE13" s="13" t="s">
        <v>18</v>
      </c>
      <c r="AF13" s="13" t="s">
        <v>18</v>
      </c>
      <c r="AG13" s="13" t="s">
        <v>52</v>
      </c>
      <c r="AH13" s="13" t="s">
        <v>52</v>
      </c>
      <c r="AI13" s="13" t="s">
        <v>19</v>
      </c>
      <c r="AJ13" s="13" t="s">
        <v>19</v>
      </c>
      <c r="AK13" s="14"/>
      <c r="AL13" s="13" t="s">
        <v>18</v>
      </c>
      <c r="AM13" s="14"/>
      <c r="AN13" s="55"/>
      <c r="AO13" s="202"/>
      <c r="AP13" s="203"/>
      <c r="AQ13" s="11"/>
      <c r="AR13" s="11"/>
      <c r="AS13" s="11"/>
      <c r="AT13" s="11"/>
      <c r="AU13" s="11"/>
      <c r="AV13" s="11"/>
      <c r="AW13" s="11"/>
      <c r="AX13" s="11"/>
      <c r="AY13" s="11"/>
    </row>
    <row r="14" spans="1:55" ht="19.5" customHeight="1">
      <c r="A14" s="61"/>
      <c r="B14" s="63" t="s">
        <v>59</v>
      </c>
      <c r="C14" s="13" t="s">
        <v>19</v>
      </c>
      <c r="D14" s="13" t="s">
        <v>19</v>
      </c>
      <c r="E14" s="14"/>
      <c r="F14" s="13" t="s">
        <v>18</v>
      </c>
      <c r="G14" s="13" t="s">
        <v>18</v>
      </c>
      <c r="H14" s="13" t="s">
        <v>52</v>
      </c>
      <c r="I14" s="13" t="s">
        <v>52</v>
      </c>
      <c r="J14" s="94" t="s">
        <v>19</v>
      </c>
      <c r="K14" s="13" t="s">
        <v>19</v>
      </c>
      <c r="L14" s="13" t="s">
        <v>19</v>
      </c>
      <c r="M14" s="14"/>
      <c r="N14" s="13" t="s">
        <v>18</v>
      </c>
      <c r="O14" s="13" t="s">
        <v>18</v>
      </c>
      <c r="P14" s="13" t="s">
        <v>18</v>
      </c>
      <c r="Q14" s="13" t="s">
        <v>52</v>
      </c>
      <c r="R14" s="13" t="s">
        <v>52</v>
      </c>
      <c r="S14" s="13" t="s">
        <v>19</v>
      </c>
      <c r="T14" s="13" t="s">
        <v>19</v>
      </c>
      <c r="U14" s="14"/>
      <c r="V14" s="94" t="s">
        <v>19</v>
      </c>
      <c r="W14" s="13" t="s">
        <v>18</v>
      </c>
      <c r="X14" s="13" t="s">
        <v>18</v>
      </c>
      <c r="Y14" s="13" t="s">
        <v>52</v>
      </c>
      <c r="Z14" s="13" t="s">
        <v>52</v>
      </c>
      <c r="AA14" s="13" t="s">
        <v>19</v>
      </c>
      <c r="AB14" s="13" t="s">
        <v>19</v>
      </c>
      <c r="AC14" s="14"/>
      <c r="AD14" s="13" t="s">
        <v>18</v>
      </c>
      <c r="AE14" s="13" t="s">
        <v>18</v>
      </c>
      <c r="AF14" s="13" t="s">
        <v>18</v>
      </c>
      <c r="AG14" s="13" t="s">
        <v>52</v>
      </c>
      <c r="AH14" s="13" t="s">
        <v>52</v>
      </c>
      <c r="AI14" s="13" t="s">
        <v>19</v>
      </c>
      <c r="AJ14" s="13" t="s">
        <v>19</v>
      </c>
      <c r="AK14" s="14"/>
      <c r="AL14" s="13" t="s">
        <v>18</v>
      </c>
      <c r="AM14" s="14"/>
      <c r="AN14" s="55"/>
      <c r="AO14" s="202"/>
      <c r="AP14" s="203"/>
      <c r="AQ14" s="61"/>
      <c r="AS14" s="171"/>
      <c r="AT14" s="137"/>
      <c r="AU14" s="137"/>
      <c r="AV14" s="137"/>
      <c r="AW14" s="137"/>
      <c r="AX14" s="137"/>
      <c r="AY14" s="137"/>
    </row>
    <row r="15" spans="1:55" ht="15.5">
      <c r="A15" s="15"/>
      <c r="B15" s="64" t="s">
        <v>60</v>
      </c>
      <c r="C15" s="13" t="s">
        <v>19</v>
      </c>
      <c r="D15" s="13" t="s">
        <v>19</v>
      </c>
      <c r="E15" s="14"/>
      <c r="F15" s="13" t="s">
        <v>18</v>
      </c>
      <c r="G15" s="13" t="s">
        <v>18</v>
      </c>
      <c r="H15" s="13" t="s">
        <v>52</v>
      </c>
      <c r="I15" s="13" t="s">
        <v>52</v>
      </c>
      <c r="J15" s="94" t="s">
        <v>19</v>
      </c>
      <c r="K15" s="13" t="s">
        <v>19</v>
      </c>
      <c r="L15" s="13" t="s">
        <v>19</v>
      </c>
      <c r="M15" s="14"/>
      <c r="N15" s="13" t="s">
        <v>18</v>
      </c>
      <c r="O15" s="13" t="s">
        <v>18</v>
      </c>
      <c r="P15" s="13" t="s">
        <v>18</v>
      </c>
      <c r="Q15" s="13" t="s">
        <v>52</v>
      </c>
      <c r="R15" s="13" t="s">
        <v>52</v>
      </c>
      <c r="S15" s="13" t="s">
        <v>19</v>
      </c>
      <c r="T15" s="13" t="s">
        <v>19</v>
      </c>
      <c r="U15" s="14"/>
      <c r="V15" s="94" t="s">
        <v>19</v>
      </c>
      <c r="W15" s="13" t="s">
        <v>18</v>
      </c>
      <c r="X15" s="13" t="s">
        <v>18</v>
      </c>
      <c r="Y15" s="13" t="s">
        <v>52</v>
      </c>
      <c r="Z15" s="13" t="s">
        <v>52</v>
      </c>
      <c r="AA15" s="13" t="s">
        <v>19</v>
      </c>
      <c r="AB15" s="13" t="s">
        <v>19</v>
      </c>
      <c r="AC15" s="14"/>
      <c r="AD15" s="13" t="s">
        <v>18</v>
      </c>
      <c r="AE15" s="13" t="s">
        <v>18</v>
      </c>
      <c r="AF15" s="13" t="s">
        <v>18</v>
      </c>
      <c r="AG15" s="13" t="s">
        <v>52</v>
      </c>
      <c r="AH15" s="13" t="s">
        <v>52</v>
      </c>
      <c r="AI15" s="13" t="s">
        <v>19</v>
      </c>
      <c r="AJ15" s="13" t="s">
        <v>19</v>
      </c>
      <c r="AK15" s="14"/>
      <c r="AL15" s="13" t="s">
        <v>18</v>
      </c>
      <c r="AM15" s="14"/>
      <c r="AN15" s="55"/>
      <c r="AO15" s="204"/>
      <c r="AP15" s="205"/>
      <c r="AQ15" s="59"/>
      <c r="AR15" s="59"/>
      <c r="AS15" s="59"/>
      <c r="AT15" s="15"/>
      <c r="AU15" s="15"/>
      <c r="AV15" s="15"/>
      <c r="AW15" s="15"/>
      <c r="AX15" s="15"/>
      <c r="AY15" s="15"/>
      <c r="AZ15" s="15"/>
      <c r="BA15" s="15"/>
      <c r="BB15" s="15"/>
    </row>
    <row r="16" spans="1:55" ht="15.5">
      <c r="A16" s="15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59"/>
      <c r="AR16" s="59"/>
      <c r="AS16" s="59"/>
      <c r="AT16" s="15"/>
      <c r="AU16" s="15"/>
      <c r="AV16" s="15"/>
      <c r="AW16" s="15"/>
      <c r="AX16" s="15"/>
      <c r="AY16" s="15"/>
      <c r="AZ16" s="15"/>
      <c r="BA16" s="15"/>
      <c r="BB16" s="15"/>
    </row>
    <row r="17" spans="1:54" ht="15.5">
      <c r="A17" s="15"/>
      <c r="B17" s="154" t="s">
        <v>9</v>
      </c>
      <c r="C17" s="154"/>
      <c r="D17" s="154"/>
      <c r="E17" s="154"/>
      <c r="F17" s="154"/>
      <c r="G17" s="154"/>
      <c r="H17" s="154"/>
      <c r="I17" s="154"/>
      <c r="J17" s="154"/>
      <c r="K17" s="154"/>
      <c r="L17" s="154"/>
      <c r="M17" s="154"/>
      <c r="N17" s="154"/>
      <c r="O17" s="154"/>
      <c r="P17" s="154"/>
      <c r="Q17" s="154"/>
      <c r="R17" s="154"/>
      <c r="S17" s="154"/>
      <c r="T17" s="154"/>
      <c r="U17" s="154"/>
      <c r="V17" s="154"/>
      <c r="W17" s="154"/>
      <c r="X17" s="154"/>
      <c r="Y17" s="154"/>
      <c r="Z17" s="154"/>
      <c r="AA17" s="154"/>
      <c r="AB17" s="154"/>
      <c r="AC17" s="154"/>
      <c r="AD17" s="154"/>
      <c r="AE17" s="154"/>
      <c r="AF17" s="154"/>
      <c r="AG17" s="154"/>
      <c r="AH17" s="154"/>
      <c r="AI17" s="154"/>
      <c r="AJ17" s="154"/>
      <c r="AK17" s="154"/>
      <c r="AL17" s="154"/>
      <c r="AM17" s="154"/>
      <c r="AN17" s="154"/>
      <c r="AO17" s="154"/>
      <c r="AP17" s="154"/>
      <c r="AQ17" s="58"/>
      <c r="AR17" s="58"/>
      <c r="AS17" s="58"/>
      <c r="AT17" s="15"/>
      <c r="AU17" s="15"/>
      <c r="AV17" s="15"/>
      <c r="AW17" s="15"/>
      <c r="AX17" s="15"/>
      <c r="AY17" s="15"/>
      <c r="AZ17" s="15"/>
      <c r="BA17" s="15"/>
      <c r="BB17" s="15"/>
    </row>
    <row r="18" spans="1:54" ht="18.75" customHeight="1">
      <c r="A18" s="3"/>
      <c r="B18" s="147" t="str">
        <f>+B9</f>
        <v>NOMBRE</v>
      </c>
      <c r="C18" s="9">
        <v>1</v>
      </c>
      <c r="D18" s="9">
        <v>2</v>
      </c>
      <c r="E18" s="149" t="s">
        <v>11</v>
      </c>
      <c r="F18" s="25">
        <v>3</v>
      </c>
      <c r="G18" s="9">
        <v>4</v>
      </c>
      <c r="H18" s="9">
        <v>5</v>
      </c>
      <c r="I18" s="9">
        <v>6</v>
      </c>
      <c r="J18" s="9">
        <v>7</v>
      </c>
      <c r="K18" s="9">
        <v>8</v>
      </c>
      <c r="L18" s="9">
        <v>9</v>
      </c>
      <c r="M18" s="155" t="s">
        <v>11</v>
      </c>
      <c r="N18" s="9">
        <v>10</v>
      </c>
      <c r="O18" s="9">
        <v>11</v>
      </c>
      <c r="P18" s="9">
        <v>12</v>
      </c>
      <c r="Q18" s="9">
        <v>13</v>
      </c>
      <c r="R18" s="9">
        <v>14</v>
      </c>
      <c r="S18" s="9">
        <v>15</v>
      </c>
      <c r="T18" s="9">
        <v>16</v>
      </c>
      <c r="U18" s="149" t="s">
        <v>11</v>
      </c>
      <c r="V18" s="9">
        <v>17</v>
      </c>
      <c r="W18" s="9">
        <v>18</v>
      </c>
      <c r="X18" s="9">
        <v>19</v>
      </c>
      <c r="Y18" s="8">
        <v>20</v>
      </c>
      <c r="Z18" s="9">
        <v>21</v>
      </c>
      <c r="AA18" s="8">
        <v>22</v>
      </c>
      <c r="AB18" s="8">
        <v>23</v>
      </c>
      <c r="AC18" s="149" t="s">
        <v>11</v>
      </c>
      <c r="AD18" s="8">
        <v>24</v>
      </c>
      <c r="AE18" s="8">
        <v>25</v>
      </c>
      <c r="AF18" s="8">
        <v>26</v>
      </c>
      <c r="AG18" s="8">
        <v>27</v>
      </c>
      <c r="AH18" s="8">
        <v>28</v>
      </c>
      <c r="AI18" s="8">
        <v>29</v>
      </c>
      <c r="AJ18" s="8">
        <v>30</v>
      </c>
      <c r="AK18" s="149" t="s">
        <v>11</v>
      </c>
      <c r="AL18" s="8">
        <v>31</v>
      </c>
      <c r="AM18" s="149" t="s">
        <v>11</v>
      </c>
      <c r="AN18" s="157" t="s">
        <v>12</v>
      </c>
      <c r="AO18" s="167" t="s">
        <v>24</v>
      </c>
      <c r="AP18" s="168"/>
    </row>
    <row r="19" spans="1:54" ht="13" customHeight="1">
      <c r="A19" s="3"/>
      <c r="B19" s="148"/>
      <c r="C19" s="10" t="s">
        <v>17</v>
      </c>
      <c r="D19" s="10" t="s">
        <v>18</v>
      </c>
      <c r="E19" s="150"/>
      <c r="F19" s="25" t="s">
        <v>19</v>
      </c>
      <c r="G19" s="10" t="s">
        <v>14</v>
      </c>
      <c r="H19" s="10" t="s">
        <v>14</v>
      </c>
      <c r="I19" s="10" t="s">
        <v>15</v>
      </c>
      <c r="J19" s="10" t="s">
        <v>16</v>
      </c>
      <c r="K19" s="10" t="s">
        <v>17</v>
      </c>
      <c r="L19" s="10" t="s">
        <v>18</v>
      </c>
      <c r="M19" s="156"/>
      <c r="N19" s="10" t="s">
        <v>19</v>
      </c>
      <c r="O19" s="10" t="s">
        <v>14</v>
      </c>
      <c r="P19" s="10" t="s">
        <v>14</v>
      </c>
      <c r="Q19" s="10" t="s">
        <v>15</v>
      </c>
      <c r="R19" s="10" t="s">
        <v>16</v>
      </c>
      <c r="S19" s="10" t="s">
        <v>17</v>
      </c>
      <c r="T19" s="10" t="s">
        <v>18</v>
      </c>
      <c r="U19" s="150"/>
      <c r="V19" s="10" t="s">
        <v>19</v>
      </c>
      <c r="W19" s="10" t="s">
        <v>14</v>
      </c>
      <c r="X19" s="10" t="s">
        <v>14</v>
      </c>
      <c r="Y19" s="10" t="s">
        <v>15</v>
      </c>
      <c r="Z19" s="10" t="s">
        <v>16</v>
      </c>
      <c r="AA19" s="10" t="s">
        <v>17</v>
      </c>
      <c r="AB19" s="10" t="s">
        <v>18</v>
      </c>
      <c r="AC19" s="150"/>
      <c r="AD19" s="10" t="s">
        <v>19</v>
      </c>
      <c r="AE19" s="10" t="s">
        <v>14</v>
      </c>
      <c r="AF19" s="10" t="s">
        <v>14</v>
      </c>
      <c r="AG19" s="10" t="s">
        <v>15</v>
      </c>
      <c r="AH19" s="10" t="s">
        <v>16</v>
      </c>
      <c r="AI19" s="10" t="s">
        <v>17</v>
      </c>
      <c r="AJ19" s="10" t="s">
        <v>18</v>
      </c>
      <c r="AK19" s="150"/>
      <c r="AL19" s="10" t="s">
        <v>19</v>
      </c>
      <c r="AM19" s="150"/>
      <c r="AN19" s="158"/>
      <c r="AO19" s="144"/>
      <c r="AP19" s="150"/>
    </row>
    <row r="20" spans="1:54" ht="16.5" customHeight="1">
      <c r="A20" s="15"/>
      <c r="B20" s="12" t="s">
        <v>57</v>
      </c>
      <c r="C20" s="16">
        <f t="shared" ref="C20:D24" si="0">VLOOKUP(C11,$M$32:$Z$36,14,0)</f>
        <v>0</v>
      </c>
      <c r="D20" s="16">
        <f t="shared" si="0"/>
        <v>0</v>
      </c>
      <c r="E20" s="17">
        <f t="shared" ref="E20:E25" si="1">SUM(C20:D20)</f>
        <v>0</v>
      </c>
      <c r="F20" s="16">
        <f t="shared" ref="F20:L24" si="2">VLOOKUP(F11,$M$32:$Z$36,14,0)</f>
        <v>9</v>
      </c>
      <c r="G20" s="16">
        <f t="shared" si="2"/>
        <v>9</v>
      </c>
      <c r="H20" s="16">
        <f t="shared" si="2"/>
        <v>8.5</v>
      </c>
      <c r="I20" s="16">
        <f t="shared" si="2"/>
        <v>8.5</v>
      </c>
      <c r="J20" s="16">
        <f t="shared" si="2"/>
        <v>0</v>
      </c>
      <c r="K20" s="16">
        <f t="shared" si="2"/>
        <v>0</v>
      </c>
      <c r="L20" s="16">
        <f t="shared" si="2"/>
        <v>0</v>
      </c>
      <c r="M20" s="17">
        <f t="shared" ref="M20:M25" si="3">SUM(F20:L20)</f>
        <v>35</v>
      </c>
      <c r="N20" s="16">
        <f t="shared" ref="N20:T24" si="4">VLOOKUP(N11,$M$32:$Z$36,14,0)</f>
        <v>9</v>
      </c>
      <c r="O20" s="16">
        <f t="shared" si="4"/>
        <v>9</v>
      </c>
      <c r="P20" s="16">
        <f t="shared" si="4"/>
        <v>9</v>
      </c>
      <c r="Q20" s="16">
        <f t="shared" si="4"/>
        <v>8.5</v>
      </c>
      <c r="R20" s="16">
        <f t="shared" si="4"/>
        <v>8.5</v>
      </c>
      <c r="S20" s="16">
        <f t="shared" si="4"/>
        <v>0</v>
      </c>
      <c r="T20" s="16">
        <f t="shared" si="4"/>
        <v>0</v>
      </c>
      <c r="U20" s="17">
        <f>SUM(N20:T20)</f>
        <v>44</v>
      </c>
      <c r="V20" s="16">
        <f t="shared" ref="V20:AB24" si="5">VLOOKUP(V11,$M$32:$Z$36,14,0)</f>
        <v>0</v>
      </c>
      <c r="W20" s="16">
        <f t="shared" si="5"/>
        <v>9</v>
      </c>
      <c r="X20" s="16">
        <f t="shared" si="5"/>
        <v>9</v>
      </c>
      <c r="Y20" s="16">
        <f t="shared" si="5"/>
        <v>8.5</v>
      </c>
      <c r="Z20" s="16">
        <f t="shared" si="5"/>
        <v>8.5</v>
      </c>
      <c r="AA20" s="16">
        <f t="shared" si="5"/>
        <v>0</v>
      </c>
      <c r="AB20" s="16">
        <f t="shared" si="5"/>
        <v>0</v>
      </c>
      <c r="AC20" s="17">
        <f>SUM(V20:AB20)</f>
        <v>35</v>
      </c>
      <c r="AD20" s="16">
        <f t="shared" ref="AD20:AL24" si="6">VLOOKUP(AD11,$M$32:$Z$36,14,0)</f>
        <v>9</v>
      </c>
      <c r="AE20" s="16">
        <f t="shared" si="6"/>
        <v>9</v>
      </c>
      <c r="AF20" s="16">
        <f t="shared" ref="AF20:AI20" si="7">VLOOKUP(AF11,$M$32:$Z$36,14,0)</f>
        <v>9</v>
      </c>
      <c r="AG20" s="16">
        <f t="shared" si="7"/>
        <v>8.5</v>
      </c>
      <c r="AH20" s="16">
        <f t="shared" si="7"/>
        <v>8.5</v>
      </c>
      <c r="AI20" s="16">
        <f t="shared" si="7"/>
        <v>0</v>
      </c>
      <c r="AJ20" s="16">
        <f t="shared" ref="AJ20" si="8">VLOOKUP(AJ11,$M$32:$Z$36,14,0)</f>
        <v>0</v>
      </c>
      <c r="AK20" s="17">
        <f>SUM(AD20:AJ20)</f>
        <v>44</v>
      </c>
      <c r="AL20" s="16">
        <f t="shared" si="6"/>
        <v>9</v>
      </c>
      <c r="AM20" s="17">
        <f>SUM(AL21)</f>
        <v>9</v>
      </c>
      <c r="AN20" s="56">
        <v>1</v>
      </c>
      <c r="AO20" s="110">
        <f>SUM(E20,M20,U20,AC20,AK20,AM20,AN20)</f>
        <v>168</v>
      </c>
      <c r="AP20" s="111"/>
    </row>
    <row r="21" spans="1:54" ht="16.5" customHeight="1">
      <c r="A21" s="15"/>
      <c r="B21" s="62" t="s">
        <v>72</v>
      </c>
      <c r="C21" s="16">
        <f t="shared" si="0"/>
        <v>0</v>
      </c>
      <c r="D21" s="16">
        <f t="shared" si="0"/>
        <v>0</v>
      </c>
      <c r="E21" s="17">
        <f t="shared" si="1"/>
        <v>0</v>
      </c>
      <c r="F21" s="16">
        <f t="shared" si="2"/>
        <v>9</v>
      </c>
      <c r="G21" s="16">
        <f t="shared" si="2"/>
        <v>9</v>
      </c>
      <c r="H21" s="16">
        <f t="shared" si="2"/>
        <v>8.5</v>
      </c>
      <c r="I21" s="16">
        <f t="shared" si="2"/>
        <v>8.5</v>
      </c>
      <c r="J21" s="16">
        <f t="shared" si="2"/>
        <v>0</v>
      </c>
      <c r="K21" s="16">
        <f t="shared" si="2"/>
        <v>0</v>
      </c>
      <c r="L21" s="16">
        <f t="shared" si="2"/>
        <v>0</v>
      </c>
      <c r="M21" s="17">
        <f t="shared" si="3"/>
        <v>35</v>
      </c>
      <c r="N21" s="16">
        <f t="shared" si="4"/>
        <v>9</v>
      </c>
      <c r="O21" s="16">
        <f t="shared" si="4"/>
        <v>9</v>
      </c>
      <c r="P21" s="16">
        <f t="shared" si="4"/>
        <v>9</v>
      </c>
      <c r="Q21" s="16">
        <f t="shared" si="4"/>
        <v>8.5</v>
      </c>
      <c r="R21" s="16">
        <f t="shared" si="4"/>
        <v>8.5</v>
      </c>
      <c r="S21" s="16">
        <f t="shared" si="4"/>
        <v>0</v>
      </c>
      <c r="T21" s="16">
        <f t="shared" si="4"/>
        <v>0</v>
      </c>
      <c r="U21" s="17">
        <f t="shared" ref="U21:U24" si="9">SUM(N21:T21)</f>
        <v>44</v>
      </c>
      <c r="V21" s="16">
        <f t="shared" si="5"/>
        <v>0</v>
      </c>
      <c r="W21" s="16">
        <f t="shared" si="5"/>
        <v>9</v>
      </c>
      <c r="X21" s="16">
        <f t="shared" si="5"/>
        <v>9</v>
      </c>
      <c r="Y21" s="16">
        <f t="shared" si="5"/>
        <v>8.5</v>
      </c>
      <c r="Z21" s="16">
        <f t="shared" si="5"/>
        <v>8.5</v>
      </c>
      <c r="AA21" s="16">
        <f t="shared" si="5"/>
        <v>0</v>
      </c>
      <c r="AB21" s="16">
        <f t="shared" si="5"/>
        <v>0</v>
      </c>
      <c r="AC21" s="17">
        <f t="shared" ref="AC21:AC24" si="10">SUM(V21:AB21)</f>
        <v>35</v>
      </c>
      <c r="AD21" s="16">
        <f t="shared" si="6"/>
        <v>9</v>
      </c>
      <c r="AE21" s="16">
        <f t="shared" si="6"/>
        <v>9</v>
      </c>
      <c r="AF21" s="16">
        <f t="shared" ref="AF21:AI21" si="11">VLOOKUP(AF12,$M$32:$Z$36,14,0)</f>
        <v>9</v>
      </c>
      <c r="AG21" s="16">
        <f t="shared" si="11"/>
        <v>8.5</v>
      </c>
      <c r="AH21" s="16">
        <f t="shared" si="11"/>
        <v>8.5</v>
      </c>
      <c r="AI21" s="16">
        <f t="shared" si="11"/>
        <v>0</v>
      </c>
      <c r="AJ21" s="16">
        <f t="shared" ref="AJ21" si="12">VLOOKUP(AJ12,$M$32:$Z$36,14,0)</f>
        <v>0</v>
      </c>
      <c r="AK21" s="17">
        <f t="shared" ref="AK21:AK23" si="13">SUM(AD21:AJ21)</f>
        <v>44</v>
      </c>
      <c r="AL21" s="16">
        <f t="shared" si="6"/>
        <v>9</v>
      </c>
      <c r="AM21" s="17">
        <f>SUM(AL22)</f>
        <v>9</v>
      </c>
      <c r="AN21" s="56">
        <v>1</v>
      </c>
      <c r="AO21" s="110">
        <f t="shared" ref="AO21:AO23" si="14">SUM(E21,M21,U21,AC21,AK21,AM21,AN21)</f>
        <v>168</v>
      </c>
      <c r="AP21" s="111"/>
    </row>
    <row r="22" spans="1:54" ht="16.5" customHeight="1">
      <c r="A22" s="15"/>
      <c r="B22" s="62" t="s">
        <v>58</v>
      </c>
      <c r="C22" s="16">
        <f t="shared" si="0"/>
        <v>0</v>
      </c>
      <c r="D22" s="16">
        <f t="shared" si="0"/>
        <v>0</v>
      </c>
      <c r="E22" s="17">
        <f t="shared" si="1"/>
        <v>0</v>
      </c>
      <c r="F22" s="16">
        <f t="shared" si="2"/>
        <v>9</v>
      </c>
      <c r="G22" s="16">
        <f t="shared" si="2"/>
        <v>9</v>
      </c>
      <c r="H22" s="16">
        <f t="shared" si="2"/>
        <v>8.5</v>
      </c>
      <c r="I22" s="16">
        <f t="shared" si="2"/>
        <v>8.5</v>
      </c>
      <c r="J22" s="16">
        <f t="shared" si="2"/>
        <v>0</v>
      </c>
      <c r="K22" s="16">
        <f t="shared" si="2"/>
        <v>0</v>
      </c>
      <c r="L22" s="16">
        <f t="shared" si="2"/>
        <v>0</v>
      </c>
      <c r="M22" s="17">
        <f t="shared" si="3"/>
        <v>35</v>
      </c>
      <c r="N22" s="16">
        <f t="shared" si="4"/>
        <v>9</v>
      </c>
      <c r="O22" s="16">
        <f t="shared" si="4"/>
        <v>9</v>
      </c>
      <c r="P22" s="16">
        <f t="shared" si="4"/>
        <v>9</v>
      </c>
      <c r="Q22" s="16">
        <f t="shared" si="4"/>
        <v>8.5</v>
      </c>
      <c r="R22" s="16">
        <f t="shared" si="4"/>
        <v>8.5</v>
      </c>
      <c r="S22" s="16">
        <f t="shared" si="4"/>
        <v>0</v>
      </c>
      <c r="T22" s="16">
        <f t="shared" si="4"/>
        <v>0</v>
      </c>
      <c r="U22" s="17">
        <f t="shared" si="9"/>
        <v>44</v>
      </c>
      <c r="V22" s="16">
        <f t="shared" si="5"/>
        <v>0</v>
      </c>
      <c r="W22" s="16">
        <f t="shared" si="5"/>
        <v>9</v>
      </c>
      <c r="X22" s="16">
        <f t="shared" si="5"/>
        <v>9</v>
      </c>
      <c r="Y22" s="16">
        <f t="shared" si="5"/>
        <v>8.5</v>
      </c>
      <c r="Z22" s="16">
        <f t="shared" si="5"/>
        <v>8.5</v>
      </c>
      <c r="AA22" s="16">
        <f t="shared" si="5"/>
        <v>0</v>
      </c>
      <c r="AB22" s="16">
        <f t="shared" si="5"/>
        <v>0</v>
      </c>
      <c r="AC22" s="17">
        <f t="shared" si="10"/>
        <v>35</v>
      </c>
      <c r="AD22" s="16">
        <f t="shared" si="6"/>
        <v>9</v>
      </c>
      <c r="AE22" s="16">
        <f t="shared" si="6"/>
        <v>9</v>
      </c>
      <c r="AF22" s="16">
        <f t="shared" ref="AF22:AI22" si="15">VLOOKUP(AF13,$M$32:$Z$36,14,0)</f>
        <v>9</v>
      </c>
      <c r="AG22" s="16">
        <f t="shared" si="15"/>
        <v>8.5</v>
      </c>
      <c r="AH22" s="16">
        <f t="shared" si="15"/>
        <v>8.5</v>
      </c>
      <c r="AI22" s="16">
        <f t="shared" si="15"/>
        <v>0</v>
      </c>
      <c r="AJ22" s="16">
        <f t="shared" ref="AJ22" si="16">VLOOKUP(AJ13,$M$32:$Z$36,14,0)</f>
        <v>0</v>
      </c>
      <c r="AK22" s="17">
        <f t="shared" si="13"/>
        <v>44</v>
      </c>
      <c r="AL22" s="16">
        <f t="shared" si="6"/>
        <v>9</v>
      </c>
      <c r="AM22" s="17">
        <f>SUM(AL23)</f>
        <v>9</v>
      </c>
      <c r="AN22" s="56">
        <v>1</v>
      </c>
      <c r="AO22" s="110">
        <f t="shared" si="14"/>
        <v>168</v>
      </c>
      <c r="AP22" s="111"/>
    </row>
    <row r="23" spans="1:54" ht="16.5" customHeight="1">
      <c r="A23" s="15"/>
      <c r="B23" s="63" t="s">
        <v>59</v>
      </c>
      <c r="C23" s="16">
        <f t="shared" si="0"/>
        <v>0</v>
      </c>
      <c r="D23" s="16">
        <f t="shared" si="0"/>
        <v>0</v>
      </c>
      <c r="E23" s="17">
        <f t="shared" si="1"/>
        <v>0</v>
      </c>
      <c r="F23" s="16">
        <f t="shared" si="2"/>
        <v>9</v>
      </c>
      <c r="G23" s="16">
        <f t="shared" si="2"/>
        <v>9</v>
      </c>
      <c r="H23" s="16">
        <f t="shared" si="2"/>
        <v>8.5</v>
      </c>
      <c r="I23" s="16">
        <f t="shared" si="2"/>
        <v>8.5</v>
      </c>
      <c r="J23" s="16">
        <f t="shared" si="2"/>
        <v>0</v>
      </c>
      <c r="K23" s="16">
        <f t="shared" si="2"/>
        <v>0</v>
      </c>
      <c r="L23" s="16">
        <f t="shared" si="2"/>
        <v>0</v>
      </c>
      <c r="M23" s="17">
        <f t="shared" si="3"/>
        <v>35</v>
      </c>
      <c r="N23" s="16">
        <f t="shared" si="4"/>
        <v>9</v>
      </c>
      <c r="O23" s="16">
        <f t="shared" si="4"/>
        <v>9</v>
      </c>
      <c r="P23" s="16">
        <f t="shared" si="4"/>
        <v>9</v>
      </c>
      <c r="Q23" s="16">
        <f t="shared" si="4"/>
        <v>8.5</v>
      </c>
      <c r="R23" s="16">
        <f t="shared" si="4"/>
        <v>8.5</v>
      </c>
      <c r="S23" s="16">
        <f t="shared" si="4"/>
        <v>0</v>
      </c>
      <c r="T23" s="16">
        <f t="shared" si="4"/>
        <v>0</v>
      </c>
      <c r="U23" s="17">
        <f t="shared" si="9"/>
        <v>44</v>
      </c>
      <c r="V23" s="16">
        <f t="shared" si="5"/>
        <v>0</v>
      </c>
      <c r="W23" s="16">
        <f t="shared" si="5"/>
        <v>9</v>
      </c>
      <c r="X23" s="16">
        <f t="shared" si="5"/>
        <v>9</v>
      </c>
      <c r="Y23" s="16">
        <f t="shared" si="5"/>
        <v>8.5</v>
      </c>
      <c r="Z23" s="16">
        <f t="shared" si="5"/>
        <v>8.5</v>
      </c>
      <c r="AA23" s="16">
        <f t="shared" si="5"/>
        <v>0</v>
      </c>
      <c r="AB23" s="16">
        <f t="shared" si="5"/>
        <v>0</v>
      </c>
      <c r="AC23" s="17">
        <f t="shared" si="10"/>
        <v>35</v>
      </c>
      <c r="AD23" s="16">
        <f t="shared" si="6"/>
        <v>9</v>
      </c>
      <c r="AE23" s="16">
        <f t="shared" si="6"/>
        <v>9</v>
      </c>
      <c r="AF23" s="16">
        <f t="shared" ref="AF23:AI23" si="17">VLOOKUP(AF14,$M$32:$Z$36,14,0)</f>
        <v>9</v>
      </c>
      <c r="AG23" s="16">
        <f t="shared" si="17"/>
        <v>8.5</v>
      </c>
      <c r="AH23" s="16">
        <f t="shared" si="17"/>
        <v>8.5</v>
      </c>
      <c r="AI23" s="16">
        <f t="shared" si="17"/>
        <v>0</v>
      </c>
      <c r="AJ23" s="16">
        <f t="shared" ref="AJ23" si="18">VLOOKUP(AJ14,$M$32:$Z$36,14,0)</f>
        <v>0</v>
      </c>
      <c r="AK23" s="17">
        <f t="shared" si="13"/>
        <v>44</v>
      </c>
      <c r="AL23" s="16">
        <f t="shared" si="6"/>
        <v>9</v>
      </c>
      <c r="AM23" s="17">
        <f>SUM(AL24)</f>
        <v>9</v>
      </c>
      <c r="AN23" s="56">
        <v>1</v>
      </c>
      <c r="AO23" s="110">
        <f t="shared" si="14"/>
        <v>168</v>
      </c>
      <c r="AP23" s="111"/>
    </row>
    <row r="24" spans="1:54" ht="23.15" customHeight="1">
      <c r="A24" s="15"/>
      <c r="B24" s="64" t="s">
        <v>60</v>
      </c>
      <c r="C24" s="16">
        <f t="shared" si="0"/>
        <v>0</v>
      </c>
      <c r="D24" s="16">
        <f t="shared" si="0"/>
        <v>0</v>
      </c>
      <c r="E24" s="17">
        <f t="shared" si="1"/>
        <v>0</v>
      </c>
      <c r="F24" s="16">
        <f t="shared" si="2"/>
        <v>9</v>
      </c>
      <c r="G24" s="16">
        <f t="shared" si="2"/>
        <v>9</v>
      </c>
      <c r="H24" s="16">
        <f t="shared" si="2"/>
        <v>8.5</v>
      </c>
      <c r="I24" s="16">
        <f t="shared" si="2"/>
        <v>8.5</v>
      </c>
      <c r="J24" s="16">
        <f t="shared" si="2"/>
        <v>0</v>
      </c>
      <c r="K24" s="16">
        <f t="shared" si="2"/>
        <v>0</v>
      </c>
      <c r="L24" s="16">
        <f t="shared" si="2"/>
        <v>0</v>
      </c>
      <c r="M24" s="17">
        <f t="shared" si="3"/>
        <v>35</v>
      </c>
      <c r="N24" s="16">
        <f t="shared" si="4"/>
        <v>9</v>
      </c>
      <c r="O24" s="16">
        <f t="shared" si="4"/>
        <v>9</v>
      </c>
      <c r="P24" s="16">
        <f t="shared" si="4"/>
        <v>9</v>
      </c>
      <c r="Q24" s="16">
        <f t="shared" si="4"/>
        <v>8.5</v>
      </c>
      <c r="R24" s="16">
        <f t="shared" si="4"/>
        <v>8.5</v>
      </c>
      <c r="S24" s="16">
        <f t="shared" si="4"/>
        <v>0</v>
      </c>
      <c r="T24" s="16">
        <f t="shared" si="4"/>
        <v>0</v>
      </c>
      <c r="U24" s="17">
        <f t="shared" si="9"/>
        <v>44</v>
      </c>
      <c r="V24" s="16">
        <f t="shared" si="5"/>
        <v>0</v>
      </c>
      <c r="W24" s="16">
        <f t="shared" si="5"/>
        <v>9</v>
      </c>
      <c r="X24" s="16">
        <f t="shared" si="5"/>
        <v>9</v>
      </c>
      <c r="Y24" s="16">
        <f t="shared" si="5"/>
        <v>8.5</v>
      </c>
      <c r="Z24" s="16">
        <f t="shared" si="5"/>
        <v>8.5</v>
      </c>
      <c r="AA24" s="16">
        <f t="shared" si="5"/>
        <v>0</v>
      </c>
      <c r="AB24" s="16">
        <f t="shared" si="5"/>
        <v>0</v>
      </c>
      <c r="AC24" s="17">
        <f t="shared" si="10"/>
        <v>35</v>
      </c>
      <c r="AD24" s="16">
        <f t="shared" si="6"/>
        <v>9</v>
      </c>
      <c r="AE24" s="16">
        <f t="shared" si="6"/>
        <v>9</v>
      </c>
      <c r="AF24" s="16">
        <f t="shared" ref="AF24:AI24" si="19">VLOOKUP(AF15,$M$32:$Z$36,14,0)</f>
        <v>9</v>
      </c>
      <c r="AG24" s="16">
        <f t="shared" si="19"/>
        <v>8.5</v>
      </c>
      <c r="AH24" s="16">
        <f t="shared" si="19"/>
        <v>8.5</v>
      </c>
      <c r="AI24" s="16">
        <f t="shared" si="19"/>
        <v>0</v>
      </c>
      <c r="AJ24" s="16">
        <f t="shared" ref="AJ24" si="20">VLOOKUP(AJ15,$M$32:$Z$36,14,0)</f>
        <v>0</v>
      </c>
      <c r="AK24" s="17">
        <f t="shared" ref="AK24:AK25" si="21">SUM(AD24:AJ24)</f>
        <v>44</v>
      </c>
      <c r="AL24" s="16">
        <f t="shared" si="6"/>
        <v>9</v>
      </c>
      <c r="AM24" s="17">
        <f>SUM(AL24)</f>
        <v>9</v>
      </c>
      <c r="AN24" s="56">
        <v>1</v>
      </c>
      <c r="AO24" s="110">
        <f>SUM(E24,M24,U24,AC24,AK24,AM24,AN24)</f>
        <v>168</v>
      </c>
      <c r="AP24" s="111"/>
    </row>
    <row r="25" spans="1:54" ht="23.15" customHeight="1">
      <c r="A25" s="15"/>
      <c r="B25" s="18" t="s">
        <v>25</v>
      </c>
      <c r="C25" s="19">
        <f>SUM(C19:C23)</f>
        <v>0</v>
      </c>
      <c r="D25" s="19">
        <f>SUM(D19:D23)</f>
        <v>0</v>
      </c>
      <c r="E25" s="17">
        <f t="shared" si="1"/>
        <v>0</v>
      </c>
      <c r="F25" s="19">
        <f t="shared" ref="F25:L25" si="22">SUM(F19:F23)</f>
        <v>36</v>
      </c>
      <c r="G25" s="19">
        <f t="shared" si="22"/>
        <v>36</v>
      </c>
      <c r="H25" s="19">
        <f t="shared" si="22"/>
        <v>34</v>
      </c>
      <c r="I25" s="19">
        <f t="shared" si="22"/>
        <v>34</v>
      </c>
      <c r="J25" s="19">
        <f t="shared" si="22"/>
        <v>0</v>
      </c>
      <c r="K25" s="19">
        <f t="shared" si="22"/>
        <v>0</v>
      </c>
      <c r="L25" s="19">
        <f t="shared" si="22"/>
        <v>0</v>
      </c>
      <c r="M25" s="17">
        <f t="shared" si="3"/>
        <v>140</v>
      </c>
      <c r="N25" s="19">
        <f t="shared" ref="N25:T25" si="23">SUM(N19:N23)</f>
        <v>36</v>
      </c>
      <c r="O25" s="19">
        <f t="shared" si="23"/>
        <v>36</v>
      </c>
      <c r="P25" s="19">
        <f t="shared" si="23"/>
        <v>36</v>
      </c>
      <c r="Q25" s="19">
        <f t="shared" si="23"/>
        <v>34</v>
      </c>
      <c r="R25" s="19">
        <f t="shared" si="23"/>
        <v>34</v>
      </c>
      <c r="S25" s="19">
        <f t="shared" si="23"/>
        <v>0</v>
      </c>
      <c r="T25" s="19">
        <f t="shared" si="23"/>
        <v>0</v>
      </c>
      <c r="U25" s="17">
        <f>SUM(N25:T25)</f>
        <v>176</v>
      </c>
      <c r="V25" s="19">
        <f t="shared" ref="V25:AA25" si="24">SUM(V19:V23)</f>
        <v>0</v>
      </c>
      <c r="W25" s="19">
        <f t="shared" si="24"/>
        <v>36</v>
      </c>
      <c r="X25" s="19">
        <f t="shared" si="24"/>
        <v>36</v>
      </c>
      <c r="Y25" s="19">
        <f t="shared" si="24"/>
        <v>34</v>
      </c>
      <c r="Z25" s="19">
        <f t="shared" si="24"/>
        <v>34</v>
      </c>
      <c r="AA25" s="19">
        <f t="shared" si="24"/>
        <v>0</v>
      </c>
      <c r="AB25" s="19">
        <f t="shared" ref="AB25:AJ25" si="25">SUM(AB19:AB23)</f>
        <v>0</v>
      </c>
      <c r="AC25" s="17">
        <f t="shared" ref="AC25" si="26">SUM(V25:AB25)</f>
        <v>140</v>
      </c>
      <c r="AD25" s="19">
        <f t="shared" si="25"/>
        <v>36</v>
      </c>
      <c r="AE25" s="19">
        <f t="shared" si="25"/>
        <v>36</v>
      </c>
      <c r="AF25" s="19">
        <f t="shared" si="25"/>
        <v>36</v>
      </c>
      <c r="AG25" s="19">
        <f t="shared" si="25"/>
        <v>34</v>
      </c>
      <c r="AH25" s="19">
        <f t="shared" si="25"/>
        <v>34</v>
      </c>
      <c r="AI25" s="19">
        <f t="shared" si="25"/>
        <v>0</v>
      </c>
      <c r="AJ25" s="19">
        <f t="shared" si="25"/>
        <v>0</v>
      </c>
      <c r="AK25" s="17">
        <f t="shared" si="21"/>
        <v>176</v>
      </c>
      <c r="AL25" s="19">
        <f>SUM(AL20:AL24)</f>
        <v>45</v>
      </c>
      <c r="AM25" s="17">
        <f>SUM(AM20:AM24)</f>
        <v>45</v>
      </c>
      <c r="AN25" s="19">
        <f>SUM(AN20:AN24)</f>
        <v>5</v>
      </c>
      <c r="AO25" s="110">
        <f>SUM(AO20:AP24)</f>
        <v>840</v>
      </c>
      <c r="AP25" s="111"/>
    </row>
    <row r="26" spans="1:54" ht="15.75" customHeight="1">
      <c r="A26" s="15"/>
      <c r="B26" s="12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60"/>
    </row>
    <row r="27" spans="1:54" ht="15" customHeight="1">
      <c r="A27" s="15"/>
      <c r="B27" s="12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60"/>
    </row>
    <row r="28" spans="1:54" ht="25.5" customHeight="1">
      <c r="A28" s="15"/>
      <c r="B28" s="21" t="s">
        <v>26</v>
      </c>
      <c r="M28" s="26"/>
      <c r="N28" s="20"/>
      <c r="O28" s="20"/>
      <c r="P28" s="20"/>
      <c r="Q28" s="20"/>
      <c r="R28" s="20"/>
    </row>
    <row r="29" spans="1:54" ht="15.75" customHeight="1">
      <c r="A29" s="7"/>
      <c r="B29" s="15"/>
      <c r="M29" s="26"/>
    </row>
    <row r="30" spans="1:54" ht="15.75" customHeight="1">
      <c r="A30" s="7"/>
      <c r="B30" s="7"/>
      <c r="M30" s="112" t="s">
        <v>27</v>
      </c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Z30" s="113"/>
      <c r="AA30" s="113"/>
      <c r="AB30" s="114"/>
    </row>
    <row r="31" spans="1:54" ht="16.5" customHeight="1">
      <c r="A31" s="7"/>
      <c r="B31" s="7"/>
      <c r="M31" s="115" t="s">
        <v>28</v>
      </c>
      <c r="N31" s="116"/>
      <c r="O31" s="116"/>
      <c r="P31" s="117"/>
      <c r="Q31" s="118" t="s">
        <v>29</v>
      </c>
      <c r="R31" s="116"/>
      <c r="S31" s="117"/>
      <c r="T31" s="118" t="s">
        <v>30</v>
      </c>
      <c r="U31" s="117"/>
      <c r="V31" s="118" t="s">
        <v>31</v>
      </c>
      <c r="W31" s="117"/>
      <c r="X31" s="118" t="s">
        <v>32</v>
      </c>
      <c r="Y31" s="117"/>
      <c r="Z31" s="119" t="s">
        <v>24</v>
      </c>
      <c r="AA31" s="120"/>
      <c r="AB31" s="121"/>
    </row>
    <row r="32" spans="1:54" ht="28" customHeight="1">
      <c r="A32" s="7"/>
      <c r="B32" s="7"/>
      <c r="M32" s="27" t="s">
        <v>18</v>
      </c>
      <c r="N32" s="122" t="s">
        <v>75</v>
      </c>
      <c r="O32" s="123"/>
      <c r="P32" s="124"/>
      <c r="Q32" s="125">
        <v>0.29166666666666669</v>
      </c>
      <c r="R32" s="126"/>
      <c r="S32" s="127"/>
      <c r="T32" s="125">
        <v>0.5</v>
      </c>
      <c r="U32" s="127"/>
      <c r="V32" s="125">
        <v>0.54166666666666696</v>
      </c>
      <c r="W32" s="127"/>
      <c r="X32" s="125">
        <v>0.70833333333333304</v>
      </c>
      <c r="Y32" s="127"/>
      <c r="Z32" s="46">
        <v>9</v>
      </c>
      <c r="AA32" s="47"/>
      <c r="AB32" s="48"/>
    </row>
    <row r="33" spans="1:47" ht="18" customHeight="1">
      <c r="A33" s="7"/>
      <c r="B33" s="7"/>
      <c r="M33" s="28" t="s">
        <v>52</v>
      </c>
      <c r="N33" s="128" t="s">
        <v>73</v>
      </c>
      <c r="O33" s="129"/>
      <c r="P33" s="130"/>
      <c r="Q33" s="125">
        <v>0.29166666666666702</v>
      </c>
      <c r="R33" s="126"/>
      <c r="S33" s="127"/>
      <c r="T33" s="125">
        <v>0.5</v>
      </c>
      <c r="U33" s="127"/>
      <c r="V33" s="125">
        <v>0.54166666666666696</v>
      </c>
      <c r="W33" s="127"/>
      <c r="X33" s="125">
        <v>0.66666666666666696</v>
      </c>
      <c r="Y33" s="127"/>
      <c r="Z33" s="49">
        <v>8.5</v>
      </c>
      <c r="AA33" s="47"/>
      <c r="AB33" s="48"/>
    </row>
    <row r="34" spans="1:47" ht="18" customHeight="1">
      <c r="A34" s="7"/>
      <c r="B34" s="7"/>
      <c r="M34" s="29" t="s">
        <v>22</v>
      </c>
      <c r="N34" s="128" t="s">
        <v>74</v>
      </c>
      <c r="O34" s="129"/>
      <c r="P34" s="130"/>
      <c r="Q34" s="125">
        <v>0.33333333333333298</v>
      </c>
      <c r="R34" s="126"/>
      <c r="S34" s="127"/>
      <c r="T34" s="125">
        <v>0.5</v>
      </c>
      <c r="U34" s="127"/>
      <c r="V34" s="125"/>
      <c r="W34" s="127"/>
      <c r="X34" s="125"/>
      <c r="Y34" s="127"/>
      <c r="Z34" s="49">
        <v>8.5</v>
      </c>
      <c r="AA34" s="47"/>
      <c r="AB34" s="48"/>
    </row>
    <row r="35" spans="1:47" ht="18" customHeight="1">
      <c r="A35" s="7"/>
      <c r="B35" s="7"/>
      <c r="M35" s="30" t="s">
        <v>19</v>
      </c>
      <c r="N35" s="128" t="s">
        <v>37</v>
      </c>
      <c r="O35" s="129"/>
      <c r="P35" s="130"/>
      <c r="Q35" s="37"/>
      <c r="R35" s="37"/>
      <c r="S35" s="38"/>
      <c r="T35" s="39"/>
      <c r="U35" s="40"/>
      <c r="V35" s="36"/>
      <c r="W35" s="38"/>
      <c r="X35" s="36"/>
      <c r="Y35" s="37"/>
      <c r="Z35" s="49">
        <v>0</v>
      </c>
      <c r="AA35" s="47"/>
      <c r="AB35" s="48"/>
    </row>
    <row r="36" spans="1:47" ht="16.5" customHeight="1">
      <c r="A36" s="7"/>
      <c r="B36" s="22"/>
      <c r="M36" s="31" t="s">
        <v>12</v>
      </c>
      <c r="N36" s="131" t="s">
        <v>38</v>
      </c>
      <c r="O36" s="132"/>
      <c r="P36" s="133"/>
      <c r="Q36" s="41"/>
      <c r="R36" s="42"/>
      <c r="S36" s="43"/>
      <c r="T36" s="41"/>
      <c r="U36" s="43"/>
      <c r="V36" s="41"/>
      <c r="W36" s="43"/>
      <c r="X36" s="41"/>
      <c r="Y36" s="43"/>
      <c r="Z36" s="50">
        <v>2</v>
      </c>
      <c r="AA36" s="51"/>
      <c r="AB36" s="52"/>
    </row>
    <row r="37" spans="1:47" ht="19.5" customHeight="1">
      <c r="A37" s="7"/>
      <c r="G37" s="32"/>
      <c r="H37" s="32"/>
      <c r="I37" s="32"/>
      <c r="P37" s="44"/>
      <c r="Q37" s="44"/>
      <c r="R37" s="44"/>
    </row>
    <row r="38" spans="1:47" ht="19.5" customHeight="1">
      <c r="A38" s="7"/>
      <c r="B38" s="22"/>
      <c r="G38" s="32"/>
      <c r="H38" s="32"/>
      <c r="I38" s="32"/>
    </row>
    <row r="39" spans="1:47" ht="19.5" customHeight="1">
      <c r="A39" s="7"/>
      <c r="B39" s="22"/>
      <c r="G39" s="32"/>
      <c r="H39" s="32"/>
      <c r="I39" s="32"/>
      <c r="AB39" s="135" t="s">
        <v>41</v>
      </c>
      <c r="AC39" s="135"/>
      <c r="AD39" s="136"/>
      <c r="AE39" s="136"/>
      <c r="AF39" s="136"/>
      <c r="AG39" s="136"/>
      <c r="AH39" s="136"/>
      <c r="AI39" s="136"/>
      <c r="AJ39" s="136"/>
      <c r="AK39" s="136"/>
      <c r="AL39" s="136"/>
      <c r="AM39" s="137"/>
      <c r="AN39" s="138"/>
      <c r="AO39" s="138"/>
      <c r="AP39" s="138"/>
      <c r="AQ39" s="138"/>
      <c r="AR39" s="138"/>
      <c r="AS39" s="138"/>
      <c r="AT39" s="138"/>
      <c r="AU39" s="138"/>
    </row>
    <row r="40" spans="1:47" ht="19.5" customHeight="1">
      <c r="A40" s="7"/>
      <c r="G40" s="32"/>
      <c r="H40" s="32"/>
      <c r="I40" s="32"/>
      <c r="M40" s="33"/>
      <c r="N40" s="33"/>
      <c r="O40" s="33"/>
      <c r="P40" s="33"/>
      <c r="Q40" s="33"/>
      <c r="R40" s="33"/>
      <c r="S40" s="33"/>
      <c r="T40" s="33"/>
      <c r="U40" s="33"/>
      <c r="V40" s="33"/>
      <c r="AB40" s="141" t="s">
        <v>44</v>
      </c>
      <c r="AC40" s="141"/>
      <c r="AD40" s="140"/>
      <c r="AE40" s="140"/>
      <c r="AF40" s="140"/>
      <c r="AG40" s="140"/>
      <c r="AH40" s="140"/>
      <c r="AI40" s="140"/>
      <c r="AJ40" s="140"/>
      <c r="AK40" s="140"/>
      <c r="AL40" s="140"/>
      <c r="AM40" s="140"/>
      <c r="AN40" s="141"/>
      <c r="AO40" s="141"/>
      <c r="AP40" s="141"/>
      <c r="AQ40" s="141"/>
      <c r="AR40" s="141"/>
      <c r="AS40" s="141"/>
      <c r="AT40" s="141"/>
      <c r="AU40" s="141"/>
    </row>
    <row r="41" spans="1:47" ht="19.5" customHeight="1">
      <c r="A41" s="7"/>
      <c r="B41" s="134" t="s">
        <v>39</v>
      </c>
      <c r="C41" s="134"/>
      <c r="M41" s="34" t="s">
        <v>40</v>
      </c>
      <c r="N41" s="34"/>
      <c r="P41" s="34"/>
      <c r="Q41" s="34"/>
      <c r="R41" s="34"/>
      <c r="S41" s="34"/>
      <c r="T41" s="34"/>
      <c r="Z41" s="32"/>
      <c r="AA41" s="53"/>
    </row>
    <row r="42" spans="1:47" ht="19.5" customHeight="1">
      <c r="A42" s="7"/>
      <c r="B42" s="139" t="s">
        <v>64</v>
      </c>
      <c r="C42" s="139"/>
      <c r="M42" s="140" t="s">
        <v>43</v>
      </c>
      <c r="N42" s="140"/>
      <c r="O42" s="140"/>
      <c r="P42" s="140"/>
      <c r="Q42" s="140"/>
      <c r="R42" s="140"/>
      <c r="S42" s="140"/>
      <c r="T42" s="140"/>
      <c r="U42" s="140"/>
      <c r="V42" s="140"/>
      <c r="AA42" s="54"/>
    </row>
  </sheetData>
  <mergeCells count="64">
    <mergeCell ref="B42:C42"/>
    <mergeCell ref="M42:V42"/>
    <mergeCell ref="B1:B4"/>
    <mergeCell ref="B9:B10"/>
    <mergeCell ref="B18:B19"/>
    <mergeCell ref="E9:E10"/>
    <mergeCell ref="E18:E19"/>
    <mergeCell ref="M9:M10"/>
    <mergeCell ref="M18:M19"/>
    <mergeCell ref="U9:U10"/>
    <mergeCell ref="U18:U19"/>
    <mergeCell ref="C1:AB4"/>
    <mergeCell ref="N35:P35"/>
    <mergeCell ref="N36:P36"/>
    <mergeCell ref="AB39:AU39"/>
    <mergeCell ref="AB40:AU40"/>
    <mergeCell ref="B41:C41"/>
    <mergeCell ref="N34:P34"/>
    <mergeCell ref="Q34:S34"/>
    <mergeCell ref="T34:U34"/>
    <mergeCell ref="V34:W34"/>
    <mergeCell ref="X34:Y34"/>
    <mergeCell ref="N33:P33"/>
    <mergeCell ref="Q33:S33"/>
    <mergeCell ref="T33:U33"/>
    <mergeCell ref="V33:W33"/>
    <mergeCell ref="X33:Y33"/>
    <mergeCell ref="N32:P32"/>
    <mergeCell ref="Q32:S32"/>
    <mergeCell ref="T32:U32"/>
    <mergeCell ref="V32:W32"/>
    <mergeCell ref="X32:Y32"/>
    <mergeCell ref="AO24:AP24"/>
    <mergeCell ref="AO25:AP25"/>
    <mergeCell ref="M30:AB30"/>
    <mergeCell ref="M31:P31"/>
    <mergeCell ref="Q31:S31"/>
    <mergeCell ref="T31:U31"/>
    <mergeCell ref="V31:W31"/>
    <mergeCell ref="X31:Y31"/>
    <mergeCell ref="Z31:AB31"/>
    <mergeCell ref="AO22:AP22"/>
    <mergeCell ref="AO23:AP23"/>
    <mergeCell ref="AM18:AM19"/>
    <mergeCell ref="AN18:AN19"/>
    <mergeCell ref="AO18:AP19"/>
    <mergeCell ref="AC9:AC10"/>
    <mergeCell ref="AK9:AK10"/>
    <mergeCell ref="B17:AP17"/>
    <mergeCell ref="AO20:AP20"/>
    <mergeCell ref="AO21:AP21"/>
    <mergeCell ref="AK18:AK19"/>
    <mergeCell ref="AC18:AC19"/>
    <mergeCell ref="AS12:AY12"/>
    <mergeCell ref="AS14:AY14"/>
    <mergeCell ref="AM9:AM10"/>
    <mergeCell ref="AN9:AN10"/>
    <mergeCell ref="AO9:AP10"/>
    <mergeCell ref="AO11:AP15"/>
    <mergeCell ref="AC1:AP1"/>
    <mergeCell ref="AC2:AP2"/>
    <mergeCell ref="AC3:AP3"/>
    <mergeCell ref="AC4:AP4"/>
    <mergeCell ref="B8:AP8"/>
  </mergeCells>
  <conditionalFormatting sqref="N34">
    <cfRule type="cellIs" priority="1" operator="equal">
      <formula>#REF!</formula>
    </cfRule>
  </conditionalFormatting>
  <conditionalFormatting sqref="V32:V34">
    <cfRule type="cellIs" priority="3" operator="equal">
      <formula>#REF!</formula>
    </cfRule>
  </conditionalFormatting>
  <conditionalFormatting sqref="X32:X34">
    <cfRule type="cellIs" priority="2" operator="equal">
      <formula>#REF!</formula>
    </cfRule>
  </conditionalFormatting>
  <pageMargins left="0.70866141732283505" right="0.70866141732283505" top="0.74803149606299202" bottom="0.74803149606299202" header="0" footer="0"/>
  <pageSetup paperSize="9" scale="55" orientation="landscape"/>
  <ignoredErrors>
    <ignoredError sqref="AC25 E25 M25 E21:T24 AD20:AE24 AC21:AC24 E20:T20 V20:AB20 V21:AB24 U20:U24 AK20:AK25" formula="1"/>
  </ignoredError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7" tint="0.59999389629810485"/>
  </sheetPr>
  <dimension ref="A1:BD39"/>
  <sheetViews>
    <sheetView showGridLines="0" topLeftCell="A10" zoomScale="80" zoomScaleNormal="80" workbookViewId="0">
      <selection activeCell="AD13" sqref="AD13"/>
    </sheetView>
  </sheetViews>
  <sheetFormatPr baseColWidth="10" defaultColWidth="12.58203125" defaultRowHeight="15" customHeight="1"/>
  <cols>
    <col min="1" max="1" width="3" style="2" customWidth="1"/>
    <col min="2" max="2" width="28" style="2" customWidth="1"/>
    <col min="3" max="4" width="4.33203125" style="2" customWidth="1"/>
    <col min="5" max="5" width="5.58203125" style="2" customWidth="1"/>
    <col min="6" max="6" width="3.25" style="2" customWidth="1"/>
    <col min="7" max="7" width="5.58203125" style="2" customWidth="1"/>
    <col min="8" max="8" width="4" style="2" customWidth="1"/>
    <col min="9" max="9" width="5.58203125" style="2" customWidth="1"/>
    <col min="10" max="11" width="3.25" style="2" customWidth="1"/>
    <col min="12" max="12" width="4.33203125" style="2" customWidth="1"/>
    <col min="13" max="14" width="3.25" style="2" customWidth="1"/>
    <col min="15" max="15" width="5.58203125" style="2" customWidth="1"/>
    <col min="16" max="16" width="3.25" style="2" customWidth="1"/>
    <col min="17" max="17" width="6.5" style="2" customWidth="1"/>
    <col min="18" max="18" width="3.25" style="2" customWidth="1"/>
    <col min="19" max="19" width="6.08203125" style="2" customWidth="1"/>
    <col min="20" max="20" width="4.33203125" style="2" customWidth="1"/>
    <col min="21" max="22" width="3.25" style="2" customWidth="1"/>
    <col min="23" max="23" width="4.33203125" style="2" customWidth="1"/>
    <col min="24" max="24" width="6.5" style="2" customWidth="1"/>
    <col min="25" max="25" width="4.33203125" style="2" customWidth="1"/>
    <col min="26" max="28" width="6.5" style="2" customWidth="1"/>
    <col min="29" max="38" width="4.33203125" style="2" customWidth="1"/>
    <col min="39" max="39" width="5.58203125" style="2" customWidth="1"/>
    <col min="40" max="40" width="4.33203125" style="2" customWidth="1"/>
    <col min="41" max="41" width="4.25" style="2" customWidth="1"/>
    <col min="42" max="42" width="12.5" style="2" customWidth="1"/>
    <col min="43" max="43" width="9.33203125" style="2" customWidth="1"/>
    <col min="44" max="51" width="10" style="2" customWidth="1"/>
    <col min="52" max="16384" width="12.58203125" style="2"/>
  </cols>
  <sheetData>
    <row r="1" spans="1:56" ht="15.75" customHeight="1">
      <c r="A1" s="3"/>
      <c r="B1" s="142"/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  <c r="O1" s="160"/>
      <c r="P1" s="160"/>
      <c r="Q1" s="160"/>
      <c r="R1" s="160"/>
      <c r="S1" s="160"/>
      <c r="T1" s="160"/>
      <c r="U1" s="160"/>
      <c r="V1" s="160"/>
      <c r="W1" s="160"/>
      <c r="X1" s="160"/>
      <c r="Y1" s="160"/>
      <c r="Z1" s="160"/>
      <c r="AA1" s="160"/>
      <c r="AB1" s="160"/>
      <c r="AC1" s="159" t="s">
        <v>0</v>
      </c>
      <c r="AD1" s="160"/>
      <c r="AE1" s="160"/>
      <c r="AF1" s="160"/>
      <c r="AG1" s="160"/>
      <c r="AH1" s="160"/>
      <c r="AI1" s="160"/>
      <c r="AJ1" s="160"/>
      <c r="AK1" s="160"/>
      <c r="AL1" s="160"/>
      <c r="AM1" s="160"/>
      <c r="AN1" s="159"/>
      <c r="AO1" s="159"/>
      <c r="AP1" s="159"/>
      <c r="AR1" s="57"/>
      <c r="AV1" s="6"/>
      <c r="AW1" s="6"/>
      <c r="AX1" s="6"/>
      <c r="AY1" s="3"/>
      <c r="AZ1" s="3"/>
      <c r="BA1" s="3"/>
      <c r="BB1" s="3"/>
      <c r="BC1" s="3"/>
      <c r="BD1" s="3"/>
    </row>
    <row r="2" spans="1:56" ht="15" customHeight="1">
      <c r="A2" s="3"/>
      <c r="B2" s="143"/>
      <c r="C2" s="160"/>
      <c r="D2" s="160"/>
      <c r="E2" s="160"/>
      <c r="F2" s="160"/>
      <c r="G2" s="160"/>
      <c r="H2" s="160"/>
      <c r="I2" s="160"/>
      <c r="J2" s="160"/>
      <c r="K2" s="160"/>
      <c r="L2" s="160"/>
      <c r="M2" s="160"/>
      <c r="N2" s="160"/>
      <c r="O2" s="160"/>
      <c r="P2" s="160"/>
      <c r="Q2" s="160"/>
      <c r="R2" s="160"/>
      <c r="S2" s="160"/>
      <c r="T2" s="160"/>
      <c r="U2" s="160"/>
      <c r="V2" s="160"/>
      <c r="W2" s="160"/>
      <c r="X2" s="160"/>
      <c r="Y2" s="160"/>
      <c r="Z2" s="160"/>
      <c r="AA2" s="160"/>
      <c r="AB2" s="160"/>
      <c r="AC2" s="161" t="s">
        <v>1</v>
      </c>
      <c r="AD2" s="160"/>
      <c r="AE2" s="160"/>
      <c r="AF2" s="160"/>
      <c r="AG2" s="160"/>
      <c r="AH2" s="160"/>
      <c r="AI2" s="160"/>
      <c r="AJ2" s="160"/>
      <c r="AK2" s="160"/>
      <c r="AL2" s="160"/>
      <c r="AM2" s="160"/>
      <c r="AN2" s="162"/>
      <c r="AO2" s="162"/>
      <c r="AP2" s="163"/>
      <c r="AQ2" s="57"/>
      <c r="AR2" s="57"/>
      <c r="AV2" s="6"/>
      <c r="AW2" s="6"/>
      <c r="AX2" s="6"/>
      <c r="AY2" s="3"/>
      <c r="AZ2" s="3"/>
      <c r="BA2" s="3"/>
      <c r="BB2" s="3"/>
      <c r="BC2" s="3"/>
      <c r="BD2" s="3"/>
    </row>
    <row r="3" spans="1:56" ht="20.25" customHeight="1">
      <c r="A3" s="3"/>
      <c r="B3" s="143"/>
      <c r="C3" s="160"/>
      <c r="D3" s="160"/>
      <c r="E3" s="160"/>
      <c r="F3" s="160"/>
      <c r="G3" s="160"/>
      <c r="H3" s="160"/>
      <c r="I3" s="160"/>
      <c r="J3" s="160"/>
      <c r="K3" s="160"/>
      <c r="L3" s="160"/>
      <c r="M3" s="160"/>
      <c r="N3" s="160"/>
      <c r="O3" s="160"/>
      <c r="P3" s="160"/>
      <c r="Q3" s="160"/>
      <c r="R3" s="160"/>
      <c r="S3" s="160"/>
      <c r="T3" s="160"/>
      <c r="U3" s="160"/>
      <c r="V3" s="160"/>
      <c r="W3" s="160"/>
      <c r="X3" s="160"/>
      <c r="Y3" s="160"/>
      <c r="Z3" s="160"/>
      <c r="AA3" s="160"/>
      <c r="AB3" s="160"/>
      <c r="AC3" s="161" t="s">
        <v>2</v>
      </c>
      <c r="AD3" s="160"/>
      <c r="AE3" s="160"/>
      <c r="AF3" s="160"/>
      <c r="AG3" s="160"/>
      <c r="AH3" s="160"/>
      <c r="AI3" s="160"/>
      <c r="AJ3" s="160"/>
      <c r="AK3" s="160"/>
      <c r="AL3" s="160"/>
      <c r="AM3" s="160"/>
      <c r="AN3" s="162"/>
      <c r="AO3" s="162"/>
      <c r="AP3" s="163"/>
      <c r="AQ3" s="57"/>
      <c r="AR3" s="57"/>
      <c r="AV3" s="6"/>
      <c r="AW3" s="6"/>
    </row>
    <row r="4" spans="1:56" ht="23.5" customHeight="1">
      <c r="A4" s="3"/>
      <c r="B4" s="144"/>
      <c r="C4" s="160"/>
      <c r="D4" s="160"/>
      <c r="E4" s="160"/>
      <c r="F4" s="160"/>
      <c r="G4" s="160"/>
      <c r="H4" s="160"/>
      <c r="I4" s="160"/>
      <c r="J4" s="160"/>
      <c r="K4" s="160"/>
      <c r="L4" s="160"/>
      <c r="M4" s="160"/>
      <c r="N4" s="160"/>
      <c r="O4" s="160"/>
      <c r="P4" s="160"/>
      <c r="Q4" s="160"/>
      <c r="R4" s="160"/>
      <c r="S4" s="160"/>
      <c r="T4" s="160"/>
      <c r="U4" s="160"/>
      <c r="V4" s="160"/>
      <c r="W4" s="160"/>
      <c r="X4" s="160"/>
      <c r="Y4" s="160"/>
      <c r="Z4" s="160"/>
      <c r="AA4" s="160"/>
      <c r="AB4" s="160"/>
      <c r="AC4" s="164" t="s">
        <v>3</v>
      </c>
      <c r="AD4" s="160"/>
      <c r="AE4" s="160"/>
      <c r="AF4" s="160"/>
      <c r="AG4" s="160"/>
      <c r="AH4" s="160"/>
      <c r="AI4" s="160"/>
      <c r="AJ4" s="160"/>
      <c r="AK4" s="160"/>
      <c r="AL4" s="160"/>
      <c r="AM4" s="160"/>
      <c r="AN4" s="165"/>
      <c r="AO4" s="165"/>
      <c r="AP4" s="166"/>
      <c r="AQ4" s="57"/>
      <c r="AR4" s="57"/>
      <c r="AV4" s="6"/>
      <c r="AW4" s="6"/>
    </row>
    <row r="5" spans="1:56" ht="18">
      <c r="A5" s="3"/>
      <c r="B5" s="4" t="s">
        <v>4</v>
      </c>
      <c r="C5" s="5" t="s">
        <v>5</v>
      </c>
      <c r="D5" s="5" t="s">
        <v>5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3"/>
      <c r="AU5" s="3"/>
      <c r="AV5" s="3"/>
      <c r="AW5" s="3"/>
      <c r="AX5" s="3"/>
      <c r="AY5" s="3"/>
    </row>
    <row r="6" spans="1:56" ht="18">
      <c r="A6" s="3"/>
      <c r="B6" s="4" t="s">
        <v>6</v>
      </c>
      <c r="C6" s="5" t="s">
        <v>49</v>
      </c>
      <c r="D6" s="5" t="s">
        <v>49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3"/>
      <c r="AU6" s="3"/>
      <c r="AV6" s="3"/>
      <c r="AW6" s="3"/>
      <c r="AX6" s="3"/>
      <c r="AY6" s="3"/>
    </row>
    <row r="7" spans="1:56" ht="18">
      <c r="A7" s="3"/>
      <c r="B7" s="6" t="s">
        <v>8</v>
      </c>
      <c r="C7" s="107" t="s">
        <v>69</v>
      </c>
      <c r="D7" s="107"/>
      <c r="E7" s="107"/>
      <c r="F7" s="107"/>
      <c r="G7" s="107"/>
      <c r="H7" s="107"/>
      <c r="I7" s="107"/>
      <c r="J7" s="107"/>
      <c r="K7" s="107"/>
      <c r="L7" s="107"/>
      <c r="M7" s="107"/>
      <c r="N7" s="107"/>
      <c r="O7" s="107"/>
      <c r="P7" s="107"/>
      <c r="Q7" s="107"/>
      <c r="R7" s="107"/>
      <c r="S7" s="107"/>
      <c r="T7" s="107"/>
      <c r="U7" s="107"/>
      <c r="V7" s="107"/>
      <c r="W7" s="107"/>
      <c r="X7" s="107"/>
      <c r="Y7" s="107"/>
      <c r="Z7" s="107"/>
      <c r="AA7" s="107"/>
      <c r="AB7" s="107"/>
      <c r="AC7" s="107"/>
      <c r="AD7" s="107"/>
      <c r="AE7" s="107"/>
      <c r="AF7" s="107"/>
      <c r="AG7" s="107"/>
      <c r="AH7" s="107"/>
      <c r="AI7" s="107"/>
      <c r="AJ7" s="107"/>
      <c r="AK7" s="107"/>
      <c r="AL7" s="107"/>
      <c r="AM7" s="107"/>
      <c r="AN7" s="107"/>
      <c r="AO7" s="107"/>
      <c r="AP7" s="107"/>
      <c r="AQ7" s="107"/>
      <c r="AR7" s="107"/>
      <c r="AS7" s="107"/>
      <c r="AT7" s="3"/>
      <c r="AU7" s="3"/>
      <c r="AV7" s="3"/>
      <c r="AW7" s="3"/>
      <c r="AX7" s="3"/>
      <c r="AY7" s="3"/>
    </row>
    <row r="8" spans="1:56" ht="15.5">
      <c r="A8" s="7"/>
      <c r="B8" s="231" t="s">
        <v>9</v>
      </c>
      <c r="C8" s="232"/>
      <c r="D8" s="232"/>
      <c r="E8" s="232"/>
      <c r="F8" s="232"/>
      <c r="G8" s="232"/>
      <c r="H8" s="232"/>
      <c r="I8" s="232"/>
      <c r="J8" s="232"/>
      <c r="K8" s="232"/>
      <c r="L8" s="232"/>
      <c r="M8" s="232"/>
      <c r="N8" s="232"/>
      <c r="O8" s="232"/>
      <c r="P8" s="232"/>
      <c r="Q8" s="232"/>
      <c r="R8" s="232"/>
      <c r="S8" s="232"/>
      <c r="T8" s="232"/>
      <c r="U8" s="232"/>
      <c r="V8" s="232"/>
      <c r="W8" s="232"/>
      <c r="X8" s="232"/>
      <c r="Y8" s="232"/>
      <c r="Z8" s="232"/>
      <c r="AA8" s="232"/>
      <c r="AB8" s="232"/>
      <c r="AC8" s="232"/>
      <c r="AD8" s="232"/>
      <c r="AE8" s="232"/>
      <c r="AF8" s="232"/>
      <c r="AG8" s="232"/>
      <c r="AH8" s="232"/>
      <c r="AI8" s="232"/>
      <c r="AJ8" s="232"/>
      <c r="AK8" s="232"/>
      <c r="AL8" s="232"/>
      <c r="AM8" s="232"/>
      <c r="AN8" s="232"/>
      <c r="AO8" s="232"/>
      <c r="AP8" s="233"/>
      <c r="AQ8" s="7"/>
      <c r="AR8" s="7"/>
      <c r="AS8" s="7"/>
      <c r="AT8" s="7"/>
      <c r="AU8" s="7"/>
      <c r="AV8" s="7"/>
      <c r="AW8" s="7"/>
      <c r="AX8" s="7"/>
      <c r="AY8" s="7"/>
    </row>
    <row r="9" spans="1:56" ht="18.75" customHeight="1">
      <c r="A9" s="3"/>
      <c r="B9" s="155" t="s">
        <v>10</v>
      </c>
      <c r="C9" s="9">
        <v>1</v>
      </c>
      <c r="D9" s="9">
        <v>1</v>
      </c>
      <c r="E9" s="149" t="s">
        <v>11</v>
      </c>
      <c r="F9" s="25">
        <v>3</v>
      </c>
      <c r="G9" s="9">
        <v>4</v>
      </c>
      <c r="H9" s="9">
        <v>5</v>
      </c>
      <c r="I9" s="9">
        <v>6</v>
      </c>
      <c r="J9" s="9">
        <v>7</v>
      </c>
      <c r="K9" s="9">
        <v>8</v>
      </c>
      <c r="L9" s="9">
        <v>9</v>
      </c>
      <c r="M9" s="155" t="s">
        <v>11</v>
      </c>
      <c r="N9" s="9">
        <v>10</v>
      </c>
      <c r="O9" s="9">
        <v>11</v>
      </c>
      <c r="P9" s="9">
        <v>12</v>
      </c>
      <c r="Q9" s="9">
        <v>13</v>
      </c>
      <c r="R9" s="9">
        <v>14</v>
      </c>
      <c r="S9" s="9">
        <v>15</v>
      </c>
      <c r="T9" s="9">
        <v>16</v>
      </c>
      <c r="U9" s="149" t="s">
        <v>11</v>
      </c>
      <c r="V9" s="9">
        <v>17</v>
      </c>
      <c r="W9" s="9">
        <v>18</v>
      </c>
      <c r="X9" s="9">
        <v>19</v>
      </c>
      <c r="Y9" s="8">
        <v>20</v>
      </c>
      <c r="Z9" s="9">
        <v>21</v>
      </c>
      <c r="AA9" s="8">
        <v>22</v>
      </c>
      <c r="AB9" s="8">
        <v>23</v>
      </c>
      <c r="AC9" s="149" t="s">
        <v>11</v>
      </c>
      <c r="AD9" s="8">
        <v>24</v>
      </c>
      <c r="AE9" s="8">
        <v>25</v>
      </c>
      <c r="AF9" s="8">
        <v>26</v>
      </c>
      <c r="AG9" s="8">
        <v>27</v>
      </c>
      <c r="AH9" s="8">
        <v>8</v>
      </c>
      <c r="AI9" s="8">
        <v>29</v>
      </c>
      <c r="AJ9" s="8">
        <v>30</v>
      </c>
      <c r="AK9" s="149" t="s">
        <v>11</v>
      </c>
      <c r="AL9" s="8">
        <v>31</v>
      </c>
      <c r="AM9" s="149" t="s">
        <v>11</v>
      </c>
      <c r="AN9" s="208" t="s">
        <v>12</v>
      </c>
      <c r="AO9" s="210" t="s">
        <v>13</v>
      </c>
      <c r="AP9" s="211"/>
      <c r="AQ9" s="3"/>
      <c r="AR9" s="3"/>
      <c r="AS9" s="3"/>
      <c r="AT9" s="3"/>
      <c r="AU9" s="3"/>
      <c r="AV9" s="3"/>
      <c r="AW9" s="3"/>
      <c r="AX9" s="3"/>
      <c r="AY9" s="3"/>
    </row>
    <row r="10" spans="1:56" ht="15" customHeight="1">
      <c r="A10" s="3"/>
      <c r="B10" s="156"/>
      <c r="C10" s="10" t="s">
        <v>17</v>
      </c>
      <c r="D10" s="10" t="s">
        <v>18</v>
      </c>
      <c r="E10" s="150"/>
      <c r="F10" s="25" t="s">
        <v>19</v>
      </c>
      <c r="G10" s="10" t="s">
        <v>14</v>
      </c>
      <c r="H10" s="10" t="s">
        <v>14</v>
      </c>
      <c r="I10" s="10" t="s">
        <v>15</v>
      </c>
      <c r="J10" s="109" t="s">
        <v>16</v>
      </c>
      <c r="K10" s="10" t="s">
        <v>17</v>
      </c>
      <c r="L10" s="10" t="s">
        <v>18</v>
      </c>
      <c r="M10" s="156"/>
      <c r="N10" s="25" t="s">
        <v>19</v>
      </c>
      <c r="O10" s="10" t="s">
        <v>14</v>
      </c>
      <c r="P10" s="10" t="s">
        <v>14</v>
      </c>
      <c r="Q10" s="10" t="s">
        <v>15</v>
      </c>
      <c r="R10" s="10" t="s">
        <v>16</v>
      </c>
      <c r="S10" s="10" t="s">
        <v>17</v>
      </c>
      <c r="T10" s="10" t="s">
        <v>18</v>
      </c>
      <c r="U10" s="150"/>
      <c r="V10" s="108" t="s">
        <v>19</v>
      </c>
      <c r="W10" s="10" t="s">
        <v>14</v>
      </c>
      <c r="X10" s="10" t="s">
        <v>14</v>
      </c>
      <c r="Y10" s="10" t="s">
        <v>15</v>
      </c>
      <c r="Z10" s="10" t="s">
        <v>16</v>
      </c>
      <c r="AA10" s="10" t="s">
        <v>17</v>
      </c>
      <c r="AB10" s="10" t="s">
        <v>18</v>
      </c>
      <c r="AC10" s="150"/>
      <c r="AD10" s="25" t="s">
        <v>19</v>
      </c>
      <c r="AE10" s="10" t="s">
        <v>14</v>
      </c>
      <c r="AF10" s="10" t="s">
        <v>14</v>
      </c>
      <c r="AG10" s="10" t="s">
        <v>15</v>
      </c>
      <c r="AH10" s="10" t="s">
        <v>16</v>
      </c>
      <c r="AI10" s="10" t="s">
        <v>17</v>
      </c>
      <c r="AJ10" s="10" t="s">
        <v>18</v>
      </c>
      <c r="AK10" s="150"/>
      <c r="AL10" s="10" t="s">
        <v>19</v>
      </c>
      <c r="AM10" s="150"/>
      <c r="AN10" s="209"/>
      <c r="AO10" s="212"/>
      <c r="AP10" s="213"/>
      <c r="AQ10" s="3"/>
      <c r="AR10" s="3"/>
      <c r="AS10" s="3"/>
      <c r="AT10" s="3"/>
      <c r="AU10" s="3"/>
      <c r="AV10" s="3"/>
      <c r="AW10" s="3"/>
      <c r="AX10" s="3"/>
      <c r="AY10" s="3"/>
    </row>
    <row r="11" spans="1:56" s="1" customFormat="1" ht="15.5">
      <c r="A11" s="11"/>
      <c r="B11" s="65" t="s">
        <v>50</v>
      </c>
      <c r="C11" s="14" t="s">
        <v>19</v>
      </c>
      <c r="D11" s="14" t="s">
        <v>19</v>
      </c>
      <c r="E11" s="66"/>
      <c r="F11" s="66" t="s">
        <v>52</v>
      </c>
      <c r="G11" s="66" t="s">
        <v>52</v>
      </c>
      <c r="H11" s="66" t="s">
        <v>52</v>
      </c>
      <c r="I11" s="66" t="s">
        <v>52</v>
      </c>
      <c r="J11" s="66" t="s">
        <v>22</v>
      </c>
      <c r="K11" s="14" t="s">
        <v>22</v>
      </c>
      <c r="L11" s="14" t="s">
        <v>22</v>
      </c>
      <c r="M11" s="66"/>
      <c r="N11" s="14" t="s">
        <v>51</v>
      </c>
      <c r="O11" s="66" t="s">
        <v>51</v>
      </c>
      <c r="P11" s="66" t="s">
        <v>51</v>
      </c>
      <c r="Q11" s="66" t="s">
        <v>51</v>
      </c>
      <c r="R11" s="66" t="s">
        <v>51</v>
      </c>
      <c r="S11" s="75" t="s">
        <v>19</v>
      </c>
      <c r="T11" s="75" t="s">
        <v>19</v>
      </c>
      <c r="U11" s="66"/>
      <c r="V11" s="66" t="s">
        <v>22</v>
      </c>
      <c r="W11" s="66" t="s">
        <v>52</v>
      </c>
      <c r="X11" s="66" t="s">
        <v>52</v>
      </c>
      <c r="Y11" s="66" t="s">
        <v>52</v>
      </c>
      <c r="Z11" s="66" t="s">
        <v>52</v>
      </c>
      <c r="AA11" s="67" t="s">
        <v>22</v>
      </c>
      <c r="AB11" s="67" t="s">
        <v>22</v>
      </c>
      <c r="AC11" s="79"/>
      <c r="AD11" s="66" t="s">
        <v>51</v>
      </c>
      <c r="AE11" s="66" t="s">
        <v>51</v>
      </c>
      <c r="AF11" s="66" t="s">
        <v>51</v>
      </c>
      <c r="AG11" s="66" t="s">
        <v>51</v>
      </c>
      <c r="AH11" s="66" t="s">
        <v>51</v>
      </c>
      <c r="AI11" s="66" t="s">
        <v>19</v>
      </c>
      <c r="AJ11" s="66" t="s">
        <v>19</v>
      </c>
      <c r="AK11" s="66"/>
      <c r="AL11" s="66" t="s">
        <v>52</v>
      </c>
      <c r="AM11" s="66"/>
      <c r="AN11" s="84"/>
      <c r="AO11" s="85"/>
      <c r="AP11" s="86"/>
      <c r="AQ11" s="11"/>
      <c r="AR11" s="11"/>
      <c r="AS11" s="11"/>
      <c r="AT11" s="11"/>
      <c r="AU11" s="11"/>
      <c r="AV11" s="11"/>
      <c r="AW11" s="11"/>
      <c r="AX11" s="11"/>
      <c r="AY11" s="11"/>
    </row>
    <row r="12" spans="1:56" s="1" customFormat="1" ht="15.5">
      <c r="A12" s="11"/>
      <c r="B12" s="65" t="s">
        <v>67</v>
      </c>
      <c r="C12" s="14" t="s">
        <v>22</v>
      </c>
      <c r="D12" s="14" t="s">
        <v>22</v>
      </c>
      <c r="E12" s="67"/>
      <c r="F12" s="66" t="s">
        <v>51</v>
      </c>
      <c r="G12" s="66" t="s">
        <v>51</v>
      </c>
      <c r="H12" s="66" t="s">
        <v>51</v>
      </c>
      <c r="I12" s="66" t="s">
        <v>51</v>
      </c>
      <c r="J12" s="66" t="s">
        <v>19</v>
      </c>
      <c r="K12" s="14" t="s">
        <v>19</v>
      </c>
      <c r="L12" s="14" t="s">
        <v>19</v>
      </c>
      <c r="M12" s="67"/>
      <c r="N12" s="67" t="s">
        <v>52</v>
      </c>
      <c r="O12" s="66" t="s">
        <v>52</v>
      </c>
      <c r="P12" s="66" t="s">
        <v>52</v>
      </c>
      <c r="Q12" s="66" t="s">
        <v>52</v>
      </c>
      <c r="R12" s="66" t="s">
        <v>52</v>
      </c>
      <c r="S12" s="75" t="s">
        <v>22</v>
      </c>
      <c r="T12" s="75" t="s">
        <v>22</v>
      </c>
      <c r="U12" s="76"/>
      <c r="V12" s="66" t="s">
        <v>19</v>
      </c>
      <c r="W12" s="66" t="s">
        <v>51</v>
      </c>
      <c r="X12" s="66" t="s">
        <v>51</v>
      </c>
      <c r="Y12" s="66" t="s">
        <v>51</v>
      </c>
      <c r="Z12" s="66" t="s">
        <v>51</v>
      </c>
      <c r="AA12" s="67" t="s">
        <v>19</v>
      </c>
      <c r="AB12" s="67" t="s">
        <v>19</v>
      </c>
      <c r="AC12" s="80"/>
      <c r="AD12" s="66" t="s">
        <v>22</v>
      </c>
      <c r="AE12" s="66" t="s">
        <v>52</v>
      </c>
      <c r="AF12" s="66" t="s">
        <v>52</v>
      </c>
      <c r="AG12" s="66" t="s">
        <v>52</v>
      </c>
      <c r="AH12" s="66" t="s">
        <v>52</v>
      </c>
      <c r="AI12" s="66" t="s">
        <v>22</v>
      </c>
      <c r="AJ12" s="66" t="s">
        <v>22</v>
      </c>
      <c r="AK12" s="66"/>
      <c r="AL12" s="66" t="s">
        <v>51</v>
      </c>
      <c r="AM12" s="67"/>
      <c r="AN12" s="87"/>
      <c r="AO12" s="85"/>
      <c r="AP12" s="86"/>
      <c r="AQ12" s="11"/>
      <c r="AR12" s="11"/>
      <c r="AS12" s="11"/>
      <c r="AT12" s="11"/>
      <c r="AU12" s="11"/>
      <c r="AV12" s="11"/>
      <c r="AW12" s="11"/>
      <c r="AX12" s="11"/>
      <c r="AY12" s="11"/>
    </row>
    <row r="13" spans="1:56" ht="15.5">
      <c r="A13" s="15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11"/>
      <c r="W13" s="11"/>
      <c r="X13" s="11"/>
      <c r="Y13" s="11"/>
      <c r="Z13" s="11"/>
      <c r="AA13" s="11"/>
      <c r="AB13" s="11"/>
      <c r="AC13" s="11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59"/>
      <c r="AO13" s="59"/>
      <c r="AP13" s="59"/>
      <c r="AQ13" s="15"/>
      <c r="AR13" s="15"/>
      <c r="AS13" s="15"/>
      <c r="AT13" s="15"/>
      <c r="AU13" s="15"/>
      <c r="AV13" s="15"/>
      <c r="AW13" s="15"/>
      <c r="AX13" s="15"/>
      <c r="AY13" s="15"/>
    </row>
    <row r="14" spans="1:56" ht="15.5">
      <c r="A14" s="15"/>
      <c r="B14" s="234" t="s">
        <v>9</v>
      </c>
      <c r="C14" s="235"/>
      <c r="D14" s="235"/>
      <c r="E14" s="235"/>
      <c r="F14" s="235"/>
      <c r="G14" s="235"/>
      <c r="H14" s="235"/>
      <c r="I14" s="235"/>
      <c r="J14" s="235"/>
      <c r="K14" s="235"/>
      <c r="L14" s="235"/>
      <c r="M14" s="235"/>
      <c r="N14" s="235"/>
      <c r="O14" s="235"/>
      <c r="P14" s="235"/>
      <c r="Q14" s="235"/>
      <c r="R14" s="235"/>
      <c r="S14" s="235"/>
      <c r="T14" s="235"/>
      <c r="U14" s="235"/>
      <c r="V14" s="235"/>
      <c r="W14" s="235"/>
      <c r="X14" s="235"/>
      <c r="Y14" s="235"/>
      <c r="Z14" s="235"/>
      <c r="AA14" s="235"/>
      <c r="AB14" s="235"/>
      <c r="AC14" s="235"/>
      <c r="AD14" s="235"/>
      <c r="AE14" s="235"/>
      <c r="AF14" s="235"/>
      <c r="AG14" s="235"/>
      <c r="AH14" s="235"/>
      <c r="AI14" s="235"/>
      <c r="AJ14" s="235"/>
      <c r="AK14" s="235"/>
      <c r="AL14" s="235"/>
      <c r="AM14" s="235"/>
      <c r="AN14" s="235"/>
      <c r="AO14" s="235"/>
      <c r="AP14" s="236"/>
      <c r="AQ14" s="15"/>
      <c r="AR14" s="15"/>
      <c r="AS14" s="15"/>
      <c r="AT14" s="15"/>
      <c r="AU14" s="15"/>
      <c r="AV14" s="15"/>
      <c r="AW14" s="15"/>
      <c r="AX14" s="15"/>
      <c r="AY14" s="15"/>
    </row>
    <row r="15" spans="1:56" ht="18.75" customHeight="1">
      <c r="A15" s="3"/>
      <c r="B15" s="229" t="str">
        <f>+B9</f>
        <v>NOMBRE</v>
      </c>
      <c r="C15" s="9">
        <v>4</v>
      </c>
      <c r="D15" s="9">
        <v>5</v>
      </c>
      <c r="E15" s="149" t="s">
        <v>11</v>
      </c>
      <c r="F15" s="25">
        <v>6</v>
      </c>
      <c r="G15" s="9">
        <v>7</v>
      </c>
      <c r="H15" s="9">
        <v>8</v>
      </c>
      <c r="I15" s="9">
        <v>9</v>
      </c>
      <c r="J15" s="9">
        <v>10</v>
      </c>
      <c r="K15" s="9">
        <v>11</v>
      </c>
      <c r="L15" s="9">
        <v>12</v>
      </c>
      <c r="M15" s="155" t="s">
        <v>11</v>
      </c>
      <c r="N15" s="9">
        <v>13</v>
      </c>
      <c r="O15" s="9">
        <v>14</v>
      </c>
      <c r="P15" s="9">
        <v>15</v>
      </c>
      <c r="Q15" s="9">
        <v>16</v>
      </c>
      <c r="R15" s="9">
        <v>17</v>
      </c>
      <c r="S15" s="9">
        <v>18</v>
      </c>
      <c r="T15" s="9">
        <v>19</v>
      </c>
      <c r="U15" s="149" t="s">
        <v>11</v>
      </c>
      <c r="V15" s="9">
        <v>20</v>
      </c>
      <c r="W15" s="9">
        <v>21</v>
      </c>
      <c r="X15" s="9">
        <v>22</v>
      </c>
      <c r="Y15" s="8">
        <v>23</v>
      </c>
      <c r="Z15" s="9">
        <v>24</v>
      </c>
      <c r="AA15" s="8">
        <v>25</v>
      </c>
      <c r="AB15" s="8">
        <v>26</v>
      </c>
      <c r="AC15" s="149" t="s">
        <v>11</v>
      </c>
      <c r="AD15" s="8">
        <v>24</v>
      </c>
      <c r="AE15" s="8">
        <v>25</v>
      </c>
      <c r="AF15" s="8">
        <v>26</v>
      </c>
      <c r="AG15" s="8">
        <v>27</v>
      </c>
      <c r="AH15" s="8">
        <v>8</v>
      </c>
      <c r="AI15" s="8">
        <v>29</v>
      </c>
      <c r="AJ15" s="8">
        <v>30</v>
      </c>
      <c r="AK15" s="149" t="s">
        <v>11</v>
      </c>
      <c r="AL15" s="8">
        <v>31</v>
      </c>
      <c r="AM15" s="149" t="s">
        <v>11</v>
      </c>
      <c r="AN15" s="208" t="s">
        <v>12</v>
      </c>
      <c r="AO15" s="214" t="s">
        <v>24</v>
      </c>
      <c r="AP15" s="215"/>
    </row>
    <row r="16" spans="1:56" ht="13" customHeight="1">
      <c r="A16" s="3"/>
      <c r="B16" s="230"/>
      <c r="C16" s="10" t="s">
        <v>17</v>
      </c>
      <c r="D16" s="10" t="s">
        <v>18</v>
      </c>
      <c r="E16" s="150"/>
      <c r="F16" s="25" t="s">
        <v>19</v>
      </c>
      <c r="G16" s="10" t="s">
        <v>14</v>
      </c>
      <c r="H16" s="10" t="s">
        <v>14</v>
      </c>
      <c r="I16" s="10" t="s">
        <v>15</v>
      </c>
      <c r="J16" s="10" t="s">
        <v>16</v>
      </c>
      <c r="K16" s="10" t="s">
        <v>17</v>
      </c>
      <c r="L16" s="10" t="s">
        <v>18</v>
      </c>
      <c r="M16" s="156"/>
      <c r="N16" s="10" t="s">
        <v>19</v>
      </c>
      <c r="O16" s="10" t="s">
        <v>14</v>
      </c>
      <c r="P16" s="10" t="s">
        <v>14</v>
      </c>
      <c r="Q16" s="10" t="s">
        <v>15</v>
      </c>
      <c r="R16" s="10" t="s">
        <v>16</v>
      </c>
      <c r="S16" s="10" t="s">
        <v>17</v>
      </c>
      <c r="T16" s="10" t="s">
        <v>18</v>
      </c>
      <c r="U16" s="150"/>
      <c r="V16" s="10" t="s">
        <v>19</v>
      </c>
      <c r="W16" s="10" t="s">
        <v>14</v>
      </c>
      <c r="X16" s="10" t="s">
        <v>14</v>
      </c>
      <c r="Y16" s="10" t="s">
        <v>15</v>
      </c>
      <c r="Z16" s="10" t="s">
        <v>16</v>
      </c>
      <c r="AA16" s="10" t="s">
        <v>17</v>
      </c>
      <c r="AB16" s="10" t="s">
        <v>18</v>
      </c>
      <c r="AC16" s="150"/>
      <c r="AD16" s="25" t="s">
        <v>19</v>
      </c>
      <c r="AE16" s="10" t="s">
        <v>14</v>
      </c>
      <c r="AF16" s="10" t="s">
        <v>14</v>
      </c>
      <c r="AG16" s="10" t="s">
        <v>15</v>
      </c>
      <c r="AH16" s="10" t="s">
        <v>16</v>
      </c>
      <c r="AI16" s="10" t="s">
        <v>17</v>
      </c>
      <c r="AJ16" s="10" t="s">
        <v>18</v>
      </c>
      <c r="AK16" s="150"/>
      <c r="AL16" s="10" t="s">
        <v>16</v>
      </c>
      <c r="AM16" s="150"/>
      <c r="AN16" s="209"/>
      <c r="AO16" s="216"/>
      <c r="AP16" s="217"/>
    </row>
    <row r="17" spans="1:44" ht="16.5" customHeight="1">
      <c r="A17" s="15"/>
      <c r="B17" s="65" t="s">
        <v>50</v>
      </c>
      <c r="C17" s="68">
        <f>VLOOKUP(C11,$G$26:$T$31,14,0)</f>
        <v>0</v>
      </c>
      <c r="D17" s="68">
        <f>VLOOKUP(D11,$G$26:$T$31,14,0)</f>
        <v>0</v>
      </c>
      <c r="E17" s="69">
        <f>SUM(C17:D17)</f>
        <v>0</v>
      </c>
      <c r="F17" s="68">
        <f t="shared" ref="F17:L18" si="0">VLOOKUP(F11,$G$26:$T$31,14,0)</f>
        <v>6</v>
      </c>
      <c r="G17" s="68">
        <f t="shared" si="0"/>
        <v>6</v>
      </c>
      <c r="H17" s="68">
        <f t="shared" si="0"/>
        <v>6</v>
      </c>
      <c r="I17" s="68">
        <f t="shared" si="0"/>
        <v>6</v>
      </c>
      <c r="J17" s="68">
        <f t="shared" si="0"/>
        <v>7</v>
      </c>
      <c r="K17" s="68">
        <f t="shared" si="0"/>
        <v>7</v>
      </c>
      <c r="L17" s="68">
        <f t="shared" si="0"/>
        <v>7</v>
      </c>
      <c r="M17" s="69">
        <f>SUM(F17:L17)</f>
        <v>45</v>
      </c>
      <c r="N17" s="68">
        <f t="shared" ref="N17:T18" si="1">VLOOKUP(N11,$G$26:$T$31,14,0)</f>
        <v>7</v>
      </c>
      <c r="O17" s="68">
        <f t="shared" si="1"/>
        <v>7</v>
      </c>
      <c r="P17" s="68">
        <f t="shared" si="1"/>
        <v>7</v>
      </c>
      <c r="Q17" s="68">
        <f t="shared" si="1"/>
        <v>7</v>
      </c>
      <c r="R17" s="68">
        <f t="shared" si="1"/>
        <v>7</v>
      </c>
      <c r="S17" s="68">
        <f t="shared" si="1"/>
        <v>0</v>
      </c>
      <c r="T17" s="68">
        <f t="shared" si="1"/>
        <v>0</v>
      </c>
      <c r="U17" s="77">
        <f>SUM(N17:T17)</f>
        <v>35</v>
      </c>
      <c r="V17" s="16">
        <f t="shared" ref="V17:Z18" si="2">VLOOKUP(V11,$G$26:$T$31,14,0)</f>
        <v>7</v>
      </c>
      <c r="W17" s="16">
        <f t="shared" si="2"/>
        <v>6</v>
      </c>
      <c r="X17" s="16">
        <f t="shared" si="2"/>
        <v>6</v>
      </c>
      <c r="Y17" s="16">
        <f t="shared" si="2"/>
        <v>6</v>
      </c>
      <c r="Z17" s="16">
        <f t="shared" si="2"/>
        <v>6</v>
      </c>
      <c r="AA17" s="16">
        <f t="shared" ref="AA17:AE17" si="3">VLOOKUP(AA11,$G$26:$T$31,14,0)</f>
        <v>7</v>
      </c>
      <c r="AB17" s="16">
        <f t="shared" si="3"/>
        <v>7</v>
      </c>
      <c r="AC17" s="81">
        <f>SUM(V17:AB17)</f>
        <v>45</v>
      </c>
      <c r="AD17" s="68">
        <f t="shared" si="3"/>
        <v>7</v>
      </c>
      <c r="AE17" s="68">
        <f t="shared" si="3"/>
        <v>7</v>
      </c>
      <c r="AF17" s="68">
        <f t="shared" ref="AF17:AL18" si="4">VLOOKUP(AF11,$G$26:$T$31,14,0)</f>
        <v>7</v>
      </c>
      <c r="AG17" s="68">
        <f t="shared" si="4"/>
        <v>7</v>
      </c>
      <c r="AH17" s="68">
        <f t="shared" ref="AH17:AJ17" si="5">VLOOKUP(AH11,$G$26:$T$31,14,0)</f>
        <v>7</v>
      </c>
      <c r="AI17" s="68">
        <f t="shared" si="5"/>
        <v>0</v>
      </c>
      <c r="AJ17" s="68">
        <f t="shared" si="5"/>
        <v>0</v>
      </c>
      <c r="AK17" s="68">
        <f>SUM(AD17:AJ17)</f>
        <v>35</v>
      </c>
      <c r="AL17" s="68">
        <f t="shared" si="4"/>
        <v>6</v>
      </c>
      <c r="AM17" s="69">
        <f>SUM(AL17)</f>
        <v>6</v>
      </c>
      <c r="AN17" s="88">
        <v>1</v>
      </c>
      <c r="AO17" s="110">
        <f>SUM(E17,M17,U17,AC17,AN17,AM17,AK17)</f>
        <v>167</v>
      </c>
      <c r="AP17" s="207"/>
    </row>
    <row r="18" spans="1:44" ht="15.5">
      <c r="A18" s="15"/>
      <c r="B18" s="65" t="s">
        <v>67</v>
      </c>
      <c r="C18" s="68">
        <f>VLOOKUP(C12,$G$26:$T$31,14,0)</f>
        <v>7</v>
      </c>
      <c r="D18" s="68">
        <f>VLOOKUP(D12,$G$26:$T$31,14,0)</f>
        <v>7</v>
      </c>
      <c r="E18" s="69">
        <f>SUM(C18:D18)</f>
        <v>14</v>
      </c>
      <c r="F18" s="68">
        <f t="shared" si="0"/>
        <v>7</v>
      </c>
      <c r="G18" s="68">
        <f t="shared" si="0"/>
        <v>7</v>
      </c>
      <c r="H18" s="68">
        <f t="shared" si="0"/>
        <v>7</v>
      </c>
      <c r="I18" s="68">
        <f t="shared" si="0"/>
        <v>7</v>
      </c>
      <c r="J18" s="68">
        <f t="shared" si="0"/>
        <v>0</v>
      </c>
      <c r="K18" s="68">
        <f t="shared" si="0"/>
        <v>0</v>
      </c>
      <c r="L18" s="68">
        <f t="shared" si="0"/>
        <v>0</v>
      </c>
      <c r="M18" s="69">
        <f>SUM(F18:L18)</f>
        <v>28</v>
      </c>
      <c r="N18" s="68">
        <f t="shared" si="1"/>
        <v>6</v>
      </c>
      <c r="O18" s="68">
        <f t="shared" si="1"/>
        <v>6</v>
      </c>
      <c r="P18" s="68">
        <f t="shared" si="1"/>
        <v>6</v>
      </c>
      <c r="Q18" s="68">
        <f t="shared" si="1"/>
        <v>6</v>
      </c>
      <c r="R18" s="68">
        <f t="shared" si="1"/>
        <v>6</v>
      </c>
      <c r="S18" s="68">
        <f t="shared" si="1"/>
        <v>7</v>
      </c>
      <c r="T18" s="68">
        <f t="shared" si="1"/>
        <v>7</v>
      </c>
      <c r="U18" s="77">
        <f>SUM(N18:T18)</f>
        <v>44</v>
      </c>
      <c r="V18" s="16">
        <f t="shared" si="2"/>
        <v>0</v>
      </c>
      <c r="W18" s="16">
        <f t="shared" si="2"/>
        <v>7</v>
      </c>
      <c r="X18" s="16">
        <f t="shared" si="2"/>
        <v>7</v>
      </c>
      <c r="Y18" s="16">
        <f t="shared" si="2"/>
        <v>7</v>
      </c>
      <c r="Z18" s="16">
        <f t="shared" si="2"/>
        <v>7</v>
      </c>
      <c r="AA18" s="16">
        <f t="shared" ref="AA18:AE18" si="6">VLOOKUP(AA12,$G$26:$T$31,14,0)</f>
        <v>0</v>
      </c>
      <c r="AB18" s="16">
        <f t="shared" si="6"/>
        <v>0</v>
      </c>
      <c r="AC18" s="81">
        <f>SUM(V18:AB18)</f>
        <v>28</v>
      </c>
      <c r="AD18" s="68">
        <f t="shared" si="6"/>
        <v>7</v>
      </c>
      <c r="AE18" s="68">
        <f t="shared" si="6"/>
        <v>6</v>
      </c>
      <c r="AF18" s="68">
        <f t="shared" si="4"/>
        <v>6</v>
      </c>
      <c r="AG18" s="68">
        <f t="shared" si="4"/>
        <v>6</v>
      </c>
      <c r="AH18" s="68">
        <f t="shared" ref="AH18:AJ18" si="7">VLOOKUP(AH12,$G$26:$T$31,14,0)</f>
        <v>6</v>
      </c>
      <c r="AI18" s="68">
        <f t="shared" si="7"/>
        <v>7</v>
      </c>
      <c r="AJ18" s="68">
        <f t="shared" si="7"/>
        <v>7</v>
      </c>
      <c r="AK18" s="68">
        <f>SUM(AD18:AJ18)</f>
        <v>45</v>
      </c>
      <c r="AL18" s="68">
        <f t="shared" si="4"/>
        <v>7</v>
      </c>
      <c r="AM18" s="69">
        <f>SUM(AL18)</f>
        <v>7</v>
      </c>
      <c r="AN18" s="88">
        <v>1</v>
      </c>
      <c r="AO18" s="110">
        <f>SUM(E18,M18,U18,AC18,AN18,AM18,AK18)</f>
        <v>167</v>
      </c>
      <c r="AP18" s="207"/>
    </row>
    <row r="19" spans="1:44" ht="23.15" customHeight="1">
      <c r="A19" s="15"/>
      <c r="B19" s="18" t="s">
        <v>25</v>
      </c>
      <c r="C19" s="19">
        <f>SUM(C17:C18)</f>
        <v>7</v>
      </c>
      <c r="D19" s="19">
        <f t="shared" ref="D19:T19" si="8">SUM(D17:D18)</f>
        <v>7</v>
      </c>
      <c r="E19" s="70">
        <f t="shared" si="8"/>
        <v>14</v>
      </c>
      <c r="F19" s="19">
        <f t="shared" si="8"/>
        <v>13</v>
      </c>
      <c r="G19" s="19">
        <f t="shared" si="8"/>
        <v>13</v>
      </c>
      <c r="H19" s="19">
        <f t="shared" si="8"/>
        <v>13</v>
      </c>
      <c r="I19" s="19">
        <f t="shared" si="8"/>
        <v>13</v>
      </c>
      <c r="J19" s="19">
        <f t="shared" si="8"/>
        <v>7</v>
      </c>
      <c r="K19" s="19">
        <f t="shared" si="8"/>
        <v>7</v>
      </c>
      <c r="L19" s="19">
        <f t="shared" si="8"/>
        <v>7</v>
      </c>
      <c r="M19" s="70">
        <f t="shared" si="8"/>
        <v>73</v>
      </c>
      <c r="N19" s="19">
        <f t="shared" si="8"/>
        <v>13</v>
      </c>
      <c r="O19" s="19">
        <f t="shared" si="8"/>
        <v>13</v>
      </c>
      <c r="P19" s="19">
        <f t="shared" si="8"/>
        <v>13</v>
      </c>
      <c r="Q19" s="19">
        <f t="shared" si="8"/>
        <v>13</v>
      </c>
      <c r="R19" s="19">
        <f t="shared" si="8"/>
        <v>13</v>
      </c>
      <c r="S19" s="19">
        <f t="shared" si="8"/>
        <v>7</v>
      </c>
      <c r="T19" s="19">
        <f t="shared" si="8"/>
        <v>7</v>
      </c>
      <c r="U19" s="78">
        <f t="shared" ref="U19" si="9">SUM(N19:T19)</f>
        <v>79</v>
      </c>
      <c r="V19" s="82">
        <f>SUM(V17:V18)</f>
        <v>7</v>
      </c>
      <c r="W19" s="82">
        <f t="shared" ref="W19:X19" si="10">SUM(W17:W18)</f>
        <v>13</v>
      </c>
      <c r="X19" s="82">
        <f t="shared" si="10"/>
        <v>13</v>
      </c>
      <c r="Y19" s="82">
        <f t="shared" ref="Y19:AE19" si="11">SUM(Y17:Y18)</f>
        <v>13</v>
      </c>
      <c r="Z19" s="82">
        <f t="shared" ref="Z19:AA19" si="12">SUM(Z17:Z18)</f>
        <v>13</v>
      </c>
      <c r="AA19" s="82">
        <f t="shared" si="12"/>
        <v>7</v>
      </c>
      <c r="AB19" s="82">
        <f t="shared" si="11"/>
        <v>7</v>
      </c>
      <c r="AC19" s="81">
        <f t="shared" si="11"/>
        <v>73</v>
      </c>
      <c r="AD19" s="19">
        <f t="shared" si="11"/>
        <v>14</v>
      </c>
      <c r="AE19" s="19">
        <f t="shared" si="11"/>
        <v>13</v>
      </c>
      <c r="AF19" s="19">
        <f t="shared" ref="AF19:AN19" si="13">SUM(AF17:AF18)</f>
        <v>13</v>
      </c>
      <c r="AG19" s="19">
        <f t="shared" si="13"/>
        <v>13</v>
      </c>
      <c r="AH19" s="19">
        <f t="shared" si="13"/>
        <v>13</v>
      </c>
      <c r="AI19" s="19">
        <f t="shared" si="13"/>
        <v>7</v>
      </c>
      <c r="AJ19" s="19">
        <f t="shared" si="13"/>
        <v>7</v>
      </c>
      <c r="AK19" s="19">
        <f t="shared" si="13"/>
        <v>80</v>
      </c>
      <c r="AL19" s="19">
        <f t="shared" si="13"/>
        <v>13</v>
      </c>
      <c r="AM19" s="70">
        <f t="shared" si="13"/>
        <v>13</v>
      </c>
      <c r="AN19" s="89">
        <f t="shared" si="13"/>
        <v>2</v>
      </c>
      <c r="AO19" s="110">
        <f>SUM(AO17:AP18)</f>
        <v>334</v>
      </c>
      <c r="AP19" s="207"/>
    </row>
    <row r="20" spans="1:44" ht="15.75" customHeight="1">
      <c r="A20" s="15"/>
      <c r="B20" s="12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83"/>
      <c r="W20" s="83"/>
      <c r="X20" s="83"/>
      <c r="Y20" s="83"/>
      <c r="Z20" s="83"/>
      <c r="AA20" s="83"/>
      <c r="AB20" s="83"/>
      <c r="AC20" s="83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60"/>
    </row>
    <row r="21" spans="1:44" ht="15" customHeight="1">
      <c r="A21" s="15"/>
      <c r="B21" s="12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83"/>
      <c r="W21" s="83"/>
      <c r="X21" s="83"/>
      <c r="Y21" s="83"/>
      <c r="Z21" s="83"/>
      <c r="AA21" s="83"/>
      <c r="AB21" s="83"/>
      <c r="AC21" s="83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</row>
    <row r="22" spans="1:44" ht="25.5" customHeight="1">
      <c r="A22" s="15"/>
      <c r="B22" s="21" t="s">
        <v>26</v>
      </c>
      <c r="E22" s="26"/>
      <c r="F22" s="20"/>
      <c r="G22" s="20"/>
      <c r="H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83"/>
      <c r="W22" s="83"/>
      <c r="X22" s="83"/>
      <c r="Y22" s="83"/>
      <c r="Z22" s="83"/>
      <c r="AA22" s="83"/>
      <c r="AB22" s="83"/>
      <c r="AC22" s="83"/>
      <c r="AM22" s="26"/>
      <c r="AN22" s="20"/>
      <c r="AO22" s="20"/>
      <c r="AP22" s="20"/>
      <c r="AQ22" s="20"/>
      <c r="AR22" s="20"/>
    </row>
    <row r="23" spans="1:44" ht="15.75" customHeight="1">
      <c r="A23" s="7"/>
      <c r="B23" s="15"/>
      <c r="E23" s="26"/>
      <c r="F23" s="26"/>
      <c r="G23" s="26"/>
      <c r="H23" s="26"/>
      <c r="V23" s="83"/>
      <c r="W23" s="83"/>
      <c r="X23" s="83"/>
      <c r="Y23" s="83"/>
      <c r="Z23" s="83"/>
      <c r="AA23" s="83"/>
      <c r="AB23" s="83"/>
      <c r="AC23" s="83"/>
      <c r="AM23" s="26"/>
    </row>
    <row r="24" spans="1:44" ht="15.75" customHeight="1">
      <c r="A24" s="7"/>
      <c r="B24" s="7"/>
      <c r="F24" s="26"/>
      <c r="G24" s="112" t="s">
        <v>27</v>
      </c>
      <c r="H24" s="218"/>
      <c r="I24" s="218"/>
      <c r="J24" s="218"/>
      <c r="K24" s="218"/>
      <c r="L24" s="218"/>
      <c r="M24" s="218"/>
      <c r="N24" s="218"/>
      <c r="O24" s="218"/>
      <c r="P24" s="218"/>
      <c r="Q24" s="218"/>
      <c r="R24" s="218"/>
      <c r="S24" s="218"/>
      <c r="T24" s="218"/>
      <c r="U24" s="218"/>
      <c r="V24" s="219"/>
      <c r="W24" s="20"/>
      <c r="X24" s="20"/>
      <c r="Y24" s="20"/>
      <c r="Z24" s="20"/>
      <c r="AA24" s="20"/>
      <c r="AB24" s="20"/>
      <c r="AC24" s="20"/>
    </row>
    <row r="25" spans="1:44" ht="16.5" customHeight="1">
      <c r="A25" s="7"/>
      <c r="B25" s="7"/>
      <c r="F25" s="72"/>
      <c r="G25" s="220" t="s">
        <v>28</v>
      </c>
      <c r="H25" s="221"/>
      <c r="I25" s="221"/>
      <c r="J25" s="222"/>
      <c r="K25" s="223" t="s">
        <v>29</v>
      </c>
      <c r="L25" s="221"/>
      <c r="M25" s="222"/>
      <c r="N25" s="223" t="s">
        <v>30</v>
      </c>
      <c r="O25" s="222"/>
      <c r="P25" s="223" t="s">
        <v>31</v>
      </c>
      <c r="Q25" s="222"/>
      <c r="R25" s="223" t="s">
        <v>32</v>
      </c>
      <c r="S25" s="222"/>
      <c r="T25" s="119" t="s">
        <v>24</v>
      </c>
      <c r="U25" s="224"/>
      <c r="V25" s="225"/>
      <c r="W25" s="20"/>
      <c r="X25" s="20"/>
      <c r="Y25" s="20"/>
      <c r="Z25" s="20"/>
      <c r="AA25" s="20"/>
      <c r="AB25" s="20"/>
      <c r="AC25" s="20"/>
    </row>
    <row r="26" spans="1:44" ht="28" customHeight="1">
      <c r="A26" s="7"/>
      <c r="B26" s="7"/>
      <c r="G26" s="28" t="s">
        <v>14</v>
      </c>
      <c r="H26" s="226" t="s">
        <v>35</v>
      </c>
      <c r="I26" s="227"/>
      <c r="J26" s="228"/>
      <c r="K26" s="125">
        <v>0.25</v>
      </c>
      <c r="L26" s="182"/>
      <c r="M26" s="183"/>
      <c r="N26" s="125">
        <v>0.625</v>
      </c>
      <c r="O26" s="183"/>
      <c r="P26" s="125"/>
      <c r="Q26" s="183"/>
      <c r="R26" s="125"/>
      <c r="S26" s="183"/>
      <c r="T26" s="46">
        <v>8</v>
      </c>
      <c r="U26" s="47"/>
      <c r="V26" s="48"/>
    </row>
    <row r="27" spans="1:44" ht="18" customHeight="1">
      <c r="A27" s="7"/>
      <c r="B27" s="7"/>
      <c r="G27" s="28" t="s">
        <v>52</v>
      </c>
      <c r="H27" s="128" t="s">
        <v>53</v>
      </c>
      <c r="I27" s="129"/>
      <c r="J27" s="130"/>
      <c r="K27" s="125">
        <v>0.54166666666666696</v>
      </c>
      <c r="L27" s="126"/>
      <c r="M27" s="127"/>
      <c r="N27" s="125">
        <v>0.79166666666666696</v>
      </c>
      <c r="O27" s="127"/>
      <c r="P27" s="36"/>
      <c r="Q27" s="74"/>
      <c r="R27" s="36"/>
      <c r="S27" s="74"/>
      <c r="T27" s="49">
        <v>6</v>
      </c>
      <c r="U27" s="47"/>
      <c r="V27" s="48"/>
    </row>
    <row r="28" spans="1:44" ht="18" customHeight="1">
      <c r="A28" s="7"/>
      <c r="B28" s="7"/>
      <c r="G28" s="30" t="s">
        <v>22</v>
      </c>
      <c r="H28" s="128" t="s">
        <v>36</v>
      </c>
      <c r="I28" s="129"/>
      <c r="J28" s="130"/>
      <c r="K28" s="125">
        <v>0.375</v>
      </c>
      <c r="L28" s="182"/>
      <c r="M28" s="183"/>
      <c r="N28" s="125">
        <v>0.75</v>
      </c>
      <c r="O28" s="183"/>
      <c r="P28" s="125"/>
      <c r="Q28" s="183"/>
      <c r="R28" s="125"/>
      <c r="S28" s="183"/>
      <c r="T28" s="49">
        <v>7</v>
      </c>
      <c r="U28" s="47"/>
      <c r="V28" s="48"/>
    </row>
    <row r="29" spans="1:44" ht="18" customHeight="1">
      <c r="A29" s="7"/>
      <c r="B29" s="7"/>
      <c r="G29" s="30" t="s">
        <v>51</v>
      </c>
      <c r="H29" s="128" t="s">
        <v>54</v>
      </c>
      <c r="I29" s="129"/>
      <c r="J29" s="130"/>
      <c r="K29" s="125">
        <v>0.25</v>
      </c>
      <c r="L29" s="182"/>
      <c r="M29" s="183"/>
      <c r="N29" s="125">
        <v>0.54166666666666696</v>
      </c>
      <c r="O29" s="183"/>
      <c r="P29" s="125"/>
      <c r="Q29" s="183"/>
      <c r="R29" s="125"/>
      <c r="S29" s="183"/>
      <c r="T29" s="49">
        <v>7</v>
      </c>
      <c r="U29" s="47"/>
      <c r="V29" s="48"/>
    </row>
    <row r="30" spans="1:44" ht="16.5" customHeight="1">
      <c r="A30" s="7"/>
      <c r="B30" s="7"/>
      <c r="G30" s="30" t="s">
        <v>19</v>
      </c>
      <c r="H30" s="128" t="s">
        <v>37</v>
      </c>
      <c r="I30" s="129"/>
      <c r="J30" s="130"/>
      <c r="K30" s="37"/>
      <c r="L30" s="37"/>
      <c r="M30" s="38"/>
      <c r="N30" s="39"/>
      <c r="O30" s="40"/>
      <c r="P30" s="36"/>
      <c r="Q30" s="38"/>
      <c r="R30" s="36"/>
      <c r="S30" s="37"/>
      <c r="T30" s="49">
        <v>0</v>
      </c>
      <c r="U30" s="47"/>
      <c r="V30" s="48"/>
    </row>
    <row r="31" spans="1:44" ht="19.5" customHeight="1">
      <c r="A31" s="7"/>
      <c r="B31" s="22"/>
      <c r="G31" s="31" t="s">
        <v>12</v>
      </c>
      <c r="H31" s="131" t="s">
        <v>38</v>
      </c>
      <c r="I31" s="132"/>
      <c r="J31" s="133"/>
      <c r="K31" s="41"/>
      <c r="L31" s="42"/>
      <c r="M31" s="43"/>
      <c r="N31" s="41"/>
      <c r="O31" s="43"/>
      <c r="P31" s="41"/>
      <c r="Q31" s="43"/>
      <c r="R31" s="41"/>
      <c r="S31" s="43"/>
      <c r="T31" s="50">
        <v>4</v>
      </c>
      <c r="U31" s="51"/>
      <c r="V31" s="52"/>
    </row>
    <row r="32" spans="1:44" ht="19.5" customHeight="1">
      <c r="A32" s="7"/>
      <c r="E32" s="32"/>
      <c r="F32" s="32"/>
      <c r="AM32" s="32"/>
    </row>
    <row r="33" spans="1:44" ht="19.5" customHeight="1">
      <c r="A33" s="7"/>
      <c r="E33" s="32"/>
      <c r="F33" s="32"/>
      <c r="AM33" s="32"/>
    </row>
    <row r="34" spans="1:44" ht="19.5" customHeight="1">
      <c r="A34" s="7"/>
      <c r="B34" s="22"/>
      <c r="E34" s="32"/>
      <c r="F34" s="32"/>
      <c r="AM34" s="32"/>
    </row>
    <row r="35" spans="1:44" ht="19.5" customHeight="1">
      <c r="A35" s="7"/>
      <c r="B35" s="22"/>
    </row>
    <row r="36" spans="1:44" ht="19.5" customHeight="1" thickBot="1">
      <c r="A36" s="7"/>
      <c r="B36" s="71"/>
      <c r="E36" s="33"/>
      <c r="F36" s="33"/>
      <c r="G36" s="33"/>
      <c r="H36" s="33"/>
      <c r="I36" s="33"/>
      <c r="J36" s="33"/>
      <c r="K36" s="33"/>
      <c r="L36" s="33"/>
      <c r="M36" s="33"/>
      <c r="N36" s="33"/>
    </row>
    <row r="37" spans="1:44" ht="19.5" customHeight="1">
      <c r="A37" s="7"/>
      <c r="B37" s="23" t="s">
        <v>39</v>
      </c>
      <c r="E37" s="34" t="s">
        <v>40</v>
      </c>
      <c r="F37" s="34"/>
      <c r="H37" s="34"/>
      <c r="I37" s="34"/>
      <c r="J37" s="34"/>
      <c r="K37" s="34"/>
      <c r="L37" s="34"/>
      <c r="P37" s="138" t="s">
        <v>41</v>
      </c>
      <c r="Q37" s="138"/>
      <c r="R37" s="138"/>
      <c r="S37" s="138"/>
      <c r="T37" s="138"/>
      <c r="U37" s="138"/>
      <c r="V37" s="138"/>
      <c r="W37" s="138"/>
      <c r="X37" s="138"/>
      <c r="Y37" s="138"/>
      <c r="Z37" s="138"/>
      <c r="AA37" s="138"/>
      <c r="AB37" s="138"/>
    </row>
    <row r="38" spans="1:44" ht="19.5" customHeight="1">
      <c r="A38" s="7"/>
      <c r="B38" s="24" t="s">
        <v>55</v>
      </c>
      <c r="E38" s="140" t="s">
        <v>43</v>
      </c>
      <c r="F38" s="140"/>
      <c r="G38" s="140"/>
      <c r="H38" s="140"/>
      <c r="I38" s="140"/>
      <c r="J38" s="140"/>
      <c r="K38" s="140"/>
      <c r="L38" s="140"/>
      <c r="M38" s="140"/>
      <c r="N38" s="140"/>
      <c r="P38" s="141" t="s">
        <v>44</v>
      </c>
      <c r="Q38" s="141"/>
      <c r="R38" s="141"/>
      <c r="S38" s="141"/>
      <c r="T38" s="141"/>
      <c r="U38" s="141"/>
      <c r="V38" s="141"/>
      <c r="W38" s="141"/>
      <c r="X38" s="141"/>
      <c r="Y38" s="141"/>
      <c r="Z38" s="141"/>
      <c r="AA38" s="141"/>
      <c r="AB38" s="141"/>
      <c r="AD38" s="34"/>
      <c r="AE38" s="34"/>
      <c r="AF38" s="34"/>
      <c r="AG38" s="34"/>
      <c r="AH38" s="34"/>
      <c r="AI38" s="34"/>
      <c r="AJ38" s="34"/>
      <c r="AK38" s="34"/>
      <c r="AL38" s="34"/>
      <c r="AN38" s="34"/>
      <c r="AO38" s="34"/>
      <c r="AP38" s="34"/>
      <c r="AQ38" s="7"/>
      <c r="AR38" s="7"/>
    </row>
    <row r="39" spans="1:44" ht="15" customHeight="1">
      <c r="AD39" s="35"/>
      <c r="AE39" s="35"/>
      <c r="AF39" s="35"/>
      <c r="AG39" s="35"/>
      <c r="AH39" s="35"/>
      <c r="AI39" s="35"/>
      <c r="AJ39" s="35"/>
      <c r="AK39" s="35"/>
      <c r="AL39" s="35"/>
      <c r="AM39" s="35"/>
      <c r="AN39" s="90"/>
      <c r="AO39" s="90"/>
      <c r="AP39" s="90"/>
      <c r="AQ39" s="7"/>
      <c r="AR39" s="7"/>
    </row>
  </sheetData>
  <mergeCells count="59">
    <mergeCell ref="B1:B4"/>
    <mergeCell ref="B9:B10"/>
    <mergeCell ref="B15:B16"/>
    <mergeCell ref="E9:E10"/>
    <mergeCell ref="E15:E16"/>
    <mergeCell ref="C1:AB4"/>
    <mergeCell ref="B8:AP8"/>
    <mergeCell ref="B14:AP14"/>
    <mergeCell ref="AC1:AP1"/>
    <mergeCell ref="AC2:AP2"/>
    <mergeCell ref="AC3:AP3"/>
    <mergeCell ref="AC4:AP4"/>
    <mergeCell ref="AC9:AC10"/>
    <mergeCell ref="H30:J30"/>
    <mergeCell ref="H31:J31"/>
    <mergeCell ref="P37:AB37"/>
    <mergeCell ref="P38:AB38"/>
    <mergeCell ref="E38:N38"/>
    <mergeCell ref="P28:Q28"/>
    <mergeCell ref="R28:S28"/>
    <mergeCell ref="H29:J29"/>
    <mergeCell ref="K29:M29"/>
    <mergeCell ref="N29:O29"/>
    <mergeCell ref="P29:Q29"/>
    <mergeCell ref="R29:S29"/>
    <mergeCell ref="H27:J27"/>
    <mergeCell ref="K27:M27"/>
    <mergeCell ref="N27:O27"/>
    <mergeCell ref="H28:J28"/>
    <mergeCell ref="K28:M28"/>
    <mergeCell ref="N28:O28"/>
    <mergeCell ref="H26:J26"/>
    <mergeCell ref="K26:M26"/>
    <mergeCell ref="N26:O26"/>
    <mergeCell ref="P26:Q26"/>
    <mergeCell ref="R26:S26"/>
    <mergeCell ref="AO18:AP18"/>
    <mergeCell ref="AO19:AP19"/>
    <mergeCell ref="G24:V24"/>
    <mergeCell ref="G25:J25"/>
    <mergeCell ref="K25:M25"/>
    <mergeCell ref="N25:O25"/>
    <mergeCell ref="P25:Q25"/>
    <mergeCell ref="R25:S25"/>
    <mergeCell ref="T25:V25"/>
    <mergeCell ref="AO17:AP17"/>
    <mergeCell ref="M9:M10"/>
    <mergeCell ref="M15:M16"/>
    <mergeCell ref="U9:U10"/>
    <mergeCell ref="U15:U16"/>
    <mergeCell ref="AM9:AM10"/>
    <mergeCell ref="AM15:AM16"/>
    <mergeCell ref="AN9:AN10"/>
    <mergeCell ref="AN15:AN16"/>
    <mergeCell ref="AO9:AP10"/>
    <mergeCell ref="AO15:AP16"/>
    <mergeCell ref="AK9:AK10"/>
    <mergeCell ref="AK15:AK16"/>
    <mergeCell ref="AC15:AC16"/>
  </mergeCells>
  <conditionalFormatting sqref="H28:H29">
    <cfRule type="cellIs" priority="1" operator="equal">
      <formula>#REF!</formula>
    </cfRule>
  </conditionalFormatting>
  <conditionalFormatting sqref="P26">
    <cfRule type="cellIs" priority="3" operator="equal">
      <formula>#REF!</formula>
    </cfRule>
  </conditionalFormatting>
  <pageMargins left="0.70866141732283505" right="0.70866141732283505" top="0.74803149606299202" bottom="0.74803149606299202" header="0.31496062992126" footer="0.31496062992126"/>
  <pageSetup paperSize="9" scale="55" orientation="landscape"/>
  <ignoredErrors>
    <ignoredError sqref="U19 M17:M19 E17 N17:T18 V17:AC18 U17:U18 AK17:AK18" formula="1"/>
  </ignoredError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  <pageSetUpPr fitToPage="1"/>
  </sheetPr>
  <dimension ref="A1:BC34"/>
  <sheetViews>
    <sheetView showGridLines="0" tabSelected="1" topLeftCell="A14" zoomScale="80" zoomScaleNormal="80" zoomScaleSheetLayoutView="90" workbookViewId="0">
      <pane xSplit="1" topLeftCell="B1" activePane="topRight" state="frozen"/>
      <selection pane="topRight" activeCell="AS18" sqref="AS18"/>
    </sheetView>
  </sheetViews>
  <sheetFormatPr baseColWidth="10" defaultColWidth="12.58203125" defaultRowHeight="15" customHeight="1"/>
  <cols>
    <col min="1" max="1" width="3" style="2" customWidth="1"/>
    <col min="2" max="2" width="28.58203125" style="2" customWidth="1"/>
    <col min="3" max="3" width="3.25" style="2" customWidth="1"/>
    <col min="4" max="4" width="4.33203125" style="2" customWidth="1"/>
    <col min="5" max="5" width="4.25" style="2" customWidth="1"/>
    <col min="6" max="6" width="3.25" style="2" customWidth="1"/>
    <col min="7" max="7" width="3.83203125" style="2" customWidth="1"/>
    <col min="8" max="8" width="4.33203125" style="2" customWidth="1"/>
    <col min="9" max="11" width="3.25" style="2" customWidth="1"/>
    <col min="12" max="12" width="4.33203125" style="2" customWidth="1"/>
    <col min="13" max="13" width="4.83203125" style="2" customWidth="1"/>
    <col min="14" max="14" width="3.25" style="2" customWidth="1"/>
    <col min="15" max="16" width="4.33203125" style="2" customWidth="1"/>
    <col min="17" max="19" width="3.25" style="2" customWidth="1"/>
    <col min="20" max="21" width="4.33203125" style="2" customWidth="1"/>
    <col min="22" max="22" width="3.25" style="2" customWidth="1"/>
    <col min="23" max="24" width="4.33203125" style="2" customWidth="1"/>
    <col min="25" max="28" width="3.25" style="2" customWidth="1"/>
    <col min="29" max="29" width="4.83203125" style="2" customWidth="1"/>
    <col min="30" max="30" width="3.25" style="2" customWidth="1"/>
    <col min="31" max="31" width="4.33203125" style="2" customWidth="1"/>
    <col min="32" max="37" width="3.25" style="2" customWidth="1"/>
    <col min="38" max="39" width="4.33203125" style="2" customWidth="1"/>
    <col min="40" max="40" width="3.25" style="2" customWidth="1"/>
    <col min="41" max="42" width="4.33203125" style="2" customWidth="1"/>
    <col min="43" max="43" width="5.25" style="2" customWidth="1"/>
    <col min="44" max="44" width="4.25" style="2" customWidth="1"/>
    <col min="45" max="45" width="12.5" style="2" customWidth="1"/>
    <col min="46" max="46" width="9.33203125" style="2" customWidth="1"/>
    <col min="47" max="54" width="10" style="2" customWidth="1"/>
    <col min="55" max="16384" width="12.58203125" style="2"/>
  </cols>
  <sheetData>
    <row r="1" spans="1:55" ht="15.75" customHeight="1">
      <c r="A1" s="3"/>
      <c r="B1" s="142"/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  <c r="O1" s="160"/>
      <c r="P1" s="160"/>
      <c r="Q1" s="160"/>
      <c r="R1" s="160"/>
      <c r="S1" s="160"/>
      <c r="T1" s="160"/>
      <c r="U1" s="160"/>
      <c r="V1" s="160"/>
      <c r="W1" s="160"/>
      <c r="X1" s="160"/>
      <c r="Y1" s="160"/>
      <c r="Z1" s="160"/>
      <c r="AA1" s="160"/>
      <c r="AB1" s="160"/>
      <c r="AC1" s="159" t="s">
        <v>0</v>
      </c>
      <c r="AD1" s="160"/>
      <c r="AE1" s="160"/>
      <c r="AF1" s="160"/>
      <c r="AG1" s="160"/>
      <c r="AH1" s="160"/>
      <c r="AI1" s="160"/>
      <c r="AJ1" s="160"/>
      <c r="AK1" s="160"/>
      <c r="AL1" s="160"/>
      <c r="AM1" s="160"/>
      <c r="AN1" s="159"/>
      <c r="AO1" s="159"/>
      <c r="AP1" s="159"/>
      <c r="AQ1" s="57"/>
      <c r="AU1" s="6"/>
      <c r="AV1" s="6"/>
      <c r="AW1" s="6"/>
      <c r="AX1" s="3"/>
      <c r="AY1" s="3"/>
      <c r="AZ1" s="3"/>
      <c r="BA1" s="3"/>
      <c r="BB1" s="3"/>
      <c r="BC1" s="3"/>
    </row>
    <row r="2" spans="1:55" ht="15" customHeight="1">
      <c r="A2" s="3"/>
      <c r="B2" s="143"/>
      <c r="C2" s="160"/>
      <c r="D2" s="160"/>
      <c r="E2" s="160"/>
      <c r="F2" s="160"/>
      <c r="G2" s="160"/>
      <c r="H2" s="160"/>
      <c r="I2" s="160"/>
      <c r="J2" s="160"/>
      <c r="K2" s="160"/>
      <c r="L2" s="160"/>
      <c r="M2" s="160"/>
      <c r="N2" s="160"/>
      <c r="O2" s="160"/>
      <c r="P2" s="160"/>
      <c r="Q2" s="160"/>
      <c r="R2" s="160"/>
      <c r="S2" s="160"/>
      <c r="T2" s="160"/>
      <c r="U2" s="160"/>
      <c r="V2" s="160"/>
      <c r="W2" s="160"/>
      <c r="X2" s="160"/>
      <c r="Y2" s="160"/>
      <c r="Z2" s="160"/>
      <c r="AA2" s="160"/>
      <c r="AB2" s="160"/>
      <c r="AC2" s="161" t="s">
        <v>1</v>
      </c>
      <c r="AD2" s="160"/>
      <c r="AE2" s="160"/>
      <c r="AF2" s="160"/>
      <c r="AG2" s="160"/>
      <c r="AH2" s="160"/>
      <c r="AI2" s="160"/>
      <c r="AJ2" s="160"/>
      <c r="AK2" s="160"/>
      <c r="AL2" s="160"/>
      <c r="AM2" s="160"/>
      <c r="AN2" s="162"/>
      <c r="AO2" s="162"/>
      <c r="AP2" s="163"/>
      <c r="AQ2" s="57"/>
      <c r="AU2" s="6"/>
      <c r="AV2" s="6"/>
      <c r="AW2" s="6"/>
      <c r="AX2" s="3"/>
      <c r="AY2" s="3"/>
      <c r="AZ2" s="3"/>
      <c r="BA2" s="3"/>
      <c r="BB2" s="3"/>
      <c r="BC2" s="3"/>
    </row>
    <row r="3" spans="1:55" ht="20.25" customHeight="1">
      <c r="A3" s="3"/>
      <c r="B3" s="143"/>
      <c r="C3" s="160"/>
      <c r="D3" s="160"/>
      <c r="E3" s="160"/>
      <c r="F3" s="160"/>
      <c r="G3" s="160"/>
      <c r="H3" s="160"/>
      <c r="I3" s="160"/>
      <c r="J3" s="160"/>
      <c r="K3" s="160"/>
      <c r="L3" s="160"/>
      <c r="M3" s="160"/>
      <c r="N3" s="160"/>
      <c r="O3" s="160"/>
      <c r="P3" s="160"/>
      <c r="Q3" s="160"/>
      <c r="R3" s="160"/>
      <c r="S3" s="160"/>
      <c r="T3" s="160"/>
      <c r="U3" s="160"/>
      <c r="V3" s="160"/>
      <c r="W3" s="160"/>
      <c r="X3" s="160"/>
      <c r="Y3" s="160"/>
      <c r="Z3" s="160"/>
      <c r="AA3" s="160"/>
      <c r="AB3" s="160"/>
      <c r="AC3" s="161" t="s">
        <v>2</v>
      </c>
      <c r="AD3" s="160"/>
      <c r="AE3" s="160"/>
      <c r="AF3" s="160"/>
      <c r="AG3" s="160"/>
      <c r="AH3" s="160"/>
      <c r="AI3" s="160"/>
      <c r="AJ3" s="160"/>
      <c r="AK3" s="160"/>
      <c r="AL3" s="160"/>
      <c r="AM3" s="160"/>
      <c r="AN3" s="162"/>
      <c r="AO3" s="162"/>
      <c r="AP3" s="163"/>
      <c r="AQ3" s="57"/>
      <c r="AU3" s="6"/>
      <c r="AV3" s="6"/>
    </row>
    <row r="4" spans="1:55" ht="23.5" customHeight="1">
      <c r="A4" s="3"/>
      <c r="B4" s="144"/>
      <c r="C4" s="160"/>
      <c r="D4" s="160"/>
      <c r="E4" s="160"/>
      <c r="F4" s="160"/>
      <c r="G4" s="160"/>
      <c r="H4" s="160"/>
      <c r="I4" s="160"/>
      <c r="J4" s="160"/>
      <c r="K4" s="160"/>
      <c r="L4" s="160"/>
      <c r="M4" s="160"/>
      <c r="N4" s="160"/>
      <c r="O4" s="160"/>
      <c r="P4" s="160"/>
      <c r="Q4" s="160"/>
      <c r="R4" s="160"/>
      <c r="S4" s="160"/>
      <c r="T4" s="160"/>
      <c r="U4" s="160"/>
      <c r="V4" s="160"/>
      <c r="W4" s="160"/>
      <c r="X4" s="160"/>
      <c r="Y4" s="160"/>
      <c r="Z4" s="160"/>
      <c r="AA4" s="160"/>
      <c r="AB4" s="160"/>
      <c r="AC4" s="164" t="s">
        <v>3</v>
      </c>
      <c r="AD4" s="160"/>
      <c r="AE4" s="160"/>
      <c r="AF4" s="160"/>
      <c r="AG4" s="160"/>
      <c r="AH4" s="160"/>
      <c r="AI4" s="160"/>
      <c r="AJ4" s="160"/>
      <c r="AK4" s="160"/>
      <c r="AL4" s="160"/>
      <c r="AM4" s="160"/>
      <c r="AN4" s="165"/>
      <c r="AO4" s="165"/>
      <c r="AP4" s="166"/>
      <c r="AQ4" s="57"/>
      <c r="AU4" s="6"/>
      <c r="AV4" s="6"/>
    </row>
    <row r="5" spans="1:55" ht="18">
      <c r="A5" s="3"/>
      <c r="B5" s="4" t="s">
        <v>4</v>
      </c>
      <c r="C5" s="5" t="s">
        <v>5</v>
      </c>
      <c r="D5" s="5"/>
      <c r="E5" s="5"/>
      <c r="F5" s="5"/>
      <c r="G5" s="5"/>
      <c r="H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3"/>
      <c r="AU5" s="3"/>
      <c r="AV5" s="3"/>
      <c r="AW5" s="3"/>
      <c r="AX5" s="3"/>
      <c r="AY5" s="3"/>
      <c r="AZ5" s="3"/>
      <c r="BA5" s="3"/>
      <c r="BB5" s="3"/>
    </row>
    <row r="6" spans="1:55" ht="18">
      <c r="A6" s="3"/>
      <c r="B6" s="4" t="s">
        <v>6</v>
      </c>
      <c r="C6" s="5" t="s">
        <v>7</v>
      </c>
      <c r="D6" s="5"/>
      <c r="E6" s="5"/>
      <c r="F6" s="5"/>
      <c r="G6" s="5"/>
      <c r="H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3"/>
      <c r="AU6" s="3"/>
      <c r="AV6" s="3"/>
      <c r="AW6" s="3"/>
      <c r="AX6" s="3"/>
      <c r="AY6" s="3"/>
      <c r="AZ6" s="3"/>
      <c r="BA6" s="3"/>
      <c r="BB6" s="3"/>
    </row>
    <row r="7" spans="1:55" ht="18">
      <c r="A7" s="3"/>
      <c r="B7" s="6" t="s">
        <v>8</v>
      </c>
      <c r="C7" s="107" t="s">
        <v>69</v>
      </c>
      <c r="D7" s="107"/>
      <c r="E7" s="107"/>
      <c r="F7" s="107"/>
      <c r="G7" s="107"/>
      <c r="H7" s="107"/>
      <c r="J7" s="107"/>
      <c r="K7" s="107"/>
      <c r="L7" s="107"/>
      <c r="M7" s="107"/>
      <c r="N7" s="107"/>
      <c r="O7" s="107"/>
      <c r="P7" s="107"/>
      <c r="Q7" s="107"/>
      <c r="R7" s="107"/>
      <c r="S7" s="107"/>
      <c r="T7" s="107"/>
      <c r="U7" s="107"/>
      <c r="V7" s="107"/>
      <c r="W7" s="107"/>
      <c r="X7" s="107"/>
      <c r="Y7" s="107"/>
      <c r="Z7" s="107"/>
      <c r="AA7" s="107"/>
      <c r="AB7" s="107"/>
      <c r="AC7" s="107"/>
      <c r="AD7" s="107"/>
      <c r="AE7" s="107"/>
      <c r="AF7" s="107"/>
      <c r="AG7" s="107"/>
      <c r="AH7" s="107"/>
      <c r="AI7" s="107"/>
      <c r="AJ7" s="107"/>
      <c r="AK7" s="107"/>
      <c r="AL7" s="107"/>
      <c r="AM7" s="107"/>
      <c r="AN7" s="107"/>
      <c r="AO7" s="107"/>
      <c r="AP7" s="107"/>
      <c r="AQ7" s="107"/>
      <c r="AR7" s="107"/>
      <c r="AS7" s="107"/>
      <c r="AT7" s="3"/>
      <c r="AU7" s="3"/>
      <c r="AV7" s="3"/>
      <c r="AW7" s="3"/>
      <c r="AX7" s="3"/>
      <c r="AY7" s="3"/>
      <c r="AZ7" s="3"/>
      <c r="BA7" s="3"/>
      <c r="BB7" s="3"/>
    </row>
    <row r="8" spans="1:55" ht="15.5">
      <c r="A8" s="7"/>
      <c r="B8" s="151" t="s">
        <v>9</v>
      </c>
      <c r="C8" s="151"/>
      <c r="D8" s="151"/>
      <c r="E8" s="151"/>
      <c r="F8" s="151"/>
      <c r="G8" s="151"/>
      <c r="H8" s="151"/>
      <c r="I8" s="151"/>
      <c r="J8" s="151"/>
      <c r="K8" s="151"/>
      <c r="L8" s="151"/>
      <c r="M8" s="151"/>
      <c r="N8" s="151"/>
      <c r="O8" s="151"/>
      <c r="P8" s="151"/>
      <c r="Q8" s="151"/>
      <c r="R8" s="151"/>
      <c r="S8" s="151"/>
      <c r="T8" s="151"/>
      <c r="U8" s="151"/>
      <c r="V8" s="151"/>
      <c r="W8" s="151"/>
      <c r="X8" s="151"/>
      <c r="Y8" s="151"/>
      <c r="Z8" s="151"/>
      <c r="AA8" s="151"/>
      <c r="AB8" s="151"/>
      <c r="AC8" s="151"/>
      <c r="AD8" s="151"/>
      <c r="AE8" s="151"/>
      <c r="AF8" s="151"/>
      <c r="AG8" s="151"/>
      <c r="AH8" s="151"/>
      <c r="AI8" s="151"/>
      <c r="AJ8" s="151"/>
      <c r="AK8" s="151"/>
      <c r="AL8" s="151"/>
      <c r="AM8" s="151"/>
      <c r="AN8" s="151"/>
      <c r="AO8" s="151"/>
      <c r="AP8" s="151"/>
      <c r="AQ8" s="58"/>
      <c r="AR8" s="58"/>
      <c r="AS8" s="58"/>
      <c r="AT8" s="7"/>
      <c r="AU8" s="7"/>
      <c r="AV8" s="7"/>
      <c r="AW8" s="7"/>
      <c r="AX8" s="7"/>
      <c r="AY8" s="7"/>
      <c r="AZ8" s="7"/>
      <c r="BA8" s="7"/>
      <c r="BB8" s="7"/>
    </row>
    <row r="9" spans="1:55" ht="15.5">
      <c r="A9" s="3"/>
      <c r="B9" s="145" t="s">
        <v>10</v>
      </c>
      <c r="C9" s="9">
        <v>1</v>
      </c>
      <c r="D9" s="9">
        <v>2</v>
      </c>
      <c r="E9" s="149" t="s">
        <v>11</v>
      </c>
      <c r="F9" s="25">
        <v>3</v>
      </c>
      <c r="G9" s="9">
        <v>4</v>
      </c>
      <c r="H9" s="9">
        <v>5</v>
      </c>
      <c r="I9" s="9">
        <v>6</v>
      </c>
      <c r="J9" s="9">
        <v>7</v>
      </c>
      <c r="K9" s="9">
        <v>8</v>
      </c>
      <c r="L9" s="9">
        <v>9</v>
      </c>
      <c r="M9" s="155" t="s">
        <v>11</v>
      </c>
      <c r="N9" s="9">
        <v>10</v>
      </c>
      <c r="O9" s="9">
        <v>11</v>
      </c>
      <c r="P9" s="9">
        <v>12</v>
      </c>
      <c r="Q9" s="9">
        <v>13</v>
      </c>
      <c r="R9" s="9">
        <v>14</v>
      </c>
      <c r="S9" s="9">
        <v>15</v>
      </c>
      <c r="T9" s="9">
        <v>16</v>
      </c>
      <c r="U9" s="149" t="s">
        <v>11</v>
      </c>
      <c r="V9" s="9">
        <v>17</v>
      </c>
      <c r="W9" s="9">
        <v>18</v>
      </c>
      <c r="X9" s="9">
        <v>19</v>
      </c>
      <c r="Y9" s="8">
        <v>20</v>
      </c>
      <c r="Z9" s="9">
        <v>21</v>
      </c>
      <c r="AA9" s="8">
        <v>22</v>
      </c>
      <c r="AB9" s="8">
        <v>23</v>
      </c>
      <c r="AC9" s="9"/>
      <c r="AD9" s="8">
        <v>24</v>
      </c>
      <c r="AE9" s="8">
        <v>25</v>
      </c>
      <c r="AF9" s="8">
        <v>26</v>
      </c>
      <c r="AG9" s="8">
        <v>27</v>
      </c>
      <c r="AH9" s="8">
        <v>28</v>
      </c>
      <c r="AI9" s="8">
        <v>29</v>
      </c>
      <c r="AJ9" s="8">
        <v>30</v>
      </c>
      <c r="AK9" s="149" t="s">
        <v>11</v>
      </c>
      <c r="AL9" s="8">
        <v>31</v>
      </c>
      <c r="AM9" s="149" t="s">
        <v>11</v>
      </c>
      <c r="AN9" s="157" t="s">
        <v>12</v>
      </c>
      <c r="AO9" s="169" t="s">
        <v>13</v>
      </c>
      <c r="AP9" s="170"/>
      <c r="AQ9" s="3"/>
      <c r="AR9" s="3"/>
      <c r="AS9" s="3"/>
      <c r="AT9" s="3"/>
      <c r="AU9" s="3"/>
      <c r="AV9" s="3"/>
      <c r="AW9" s="3"/>
      <c r="AX9" s="3"/>
      <c r="AY9" s="3"/>
    </row>
    <row r="10" spans="1:55" ht="15.5">
      <c r="A10" s="3"/>
      <c r="B10" s="146"/>
      <c r="C10" s="10" t="s">
        <v>17</v>
      </c>
      <c r="D10" s="10" t="s">
        <v>18</v>
      </c>
      <c r="E10" s="150"/>
      <c r="F10" s="25" t="s">
        <v>19</v>
      </c>
      <c r="G10" s="10" t="s">
        <v>14</v>
      </c>
      <c r="H10" s="10" t="s">
        <v>14</v>
      </c>
      <c r="I10" s="10" t="s">
        <v>15</v>
      </c>
      <c r="J10" s="10" t="s">
        <v>16</v>
      </c>
      <c r="K10" s="10" t="s">
        <v>17</v>
      </c>
      <c r="L10" s="10" t="s">
        <v>18</v>
      </c>
      <c r="M10" s="156"/>
      <c r="N10" s="10" t="s">
        <v>19</v>
      </c>
      <c r="O10" s="10" t="s">
        <v>14</v>
      </c>
      <c r="P10" s="10" t="s">
        <v>14</v>
      </c>
      <c r="Q10" s="10" t="s">
        <v>15</v>
      </c>
      <c r="R10" s="10" t="s">
        <v>16</v>
      </c>
      <c r="S10" s="10" t="s">
        <v>17</v>
      </c>
      <c r="T10" s="10" t="s">
        <v>18</v>
      </c>
      <c r="U10" s="150"/>
      <c r="V10" s="10" t="s">
        <v>19</v>
      </c>
      <c r="W10" s="10" t="s">
        <v>14</v>
      </c>
      <c r="X10" s="10" t="s">
        <v>14</v>
      </c>
      <c r="Y10" s="10" t="s">
        <v>15</v>
      </c>
      <c r="Z10" s="10" t="s">
        <v>16</v>
      </c>
      <c r="AA10" s="10" t="s">
        <v>17</v>
      </c>
      <c r="AB10" s="10" t="s">
        <v>18</v>
      </c>
      <c r="AC10" s="9"/>
      <c r="AD10" s="10" t="s">
        <v>19</v>
      </c>
      <c r="AE10" s="10" t="s">
        <v>14</v>
      </c>
      <c r="AF10" s="10" t="s">
        <v>14</v>
      </c>
      <c r="AG10" s="10" t="s">
        <v>15</v>
      </c>
      <c r="AH10" s="10" t="s">
        <v>16</v>
      </c>
      <c r="AI10" s="10" t="s">
        <v>17</v>
      </c>
      <c r="AJ10" s="10" t="s">
        <v>18</v>
      </c>
      <c r="AK10" s="150"/>
      <c r="AL10" s="10" t="s">
        <v>19</v>
      </c>
      <c r="AM10" s="150"/>
      <c r="AN10" s="158"/>
      <c r="AO10" s="169"/>
      <c r="AP10" s="170"/>
      <c r="AQ10" s="3"/>
      <c r="AR10" s="3"/>
      <c r="AS10" s="3"/>
      <c r="AT10" s="3"/>
      <c r="AU10" s="3"/>
      <c r="AV10" s="3"/>
      <c r="AW10" s="3"/>
      <c r="AX10" s="3"/>
      <c r="AY10" s="3"/>
    </row>
    <row r="11" spans="1:55" s="1" customFormat="1" ht="19.5" customHeight="1">
      <c r="A11" s="11"/>
      <c r="B11" s="63" t="s">
        <v>68</v>
      </c>
      <c r="C11" s="13" t="s">
        <v>19</v>
      </c>
      <c r="D11" s="13" t="s">
        <v>19</v>
      </c>
      <c r="E11" s="14"/>
      <c r="F11" s="13" t="s">
        <v>18</v>
      </c>
      <c r="G11" s="13" t="s">
        <v>18</v>
      </c>
      <c r="H11" s="13" t="s">
        <v>52</v>
      </c>
      <c r="I11" s="13" t="s">
        <v>52</v>
      </c>
      <c r="J11" s="94" t="s">
        <v>19</v>
      </c>
      <c r="K11" s="13" t="s">
        <v>19</v>
      </c>
      <c r="L11" s="13" t="s">
        <v>19</v>
      </c>
      <c r="M11" s="14"/>
      <c r="N11" s="13" t="s">
        <v>18</v>
      </c>
      <c r="O11" s="13" t="s">
        <v>18</v>
      </c>
      <c r="P11" s="13" t="s">
        <v>18</v>
      </c>
      <c r="Q11" s="13" t="s">
        <v>52</v>
      </c>
      <c r="R11" s="13" t="s">
        <v>52</v>
      </c>
      <c r="S11" s="13" t="s">
        <v>19</v>
      </c>
      <c r="T11" s="13" t="s">
        <v>19</v>
      </c>
      <c r="U11" s="14"/>
      <c r="V11" s="94" t="s">
        <v>19</v>
      </c>
      <c r="W11" s="13" t="s">
        <v>18</v>
      </c>
      <c r="X11" s="13" t="s">
        <v>18</v>
      </c>
      <c r="Y11" s="13" t="s">
        <v>52</v>
      </c>
      <c r="Z11" s="13" t="s">
        <v>52</v>
      </c>
      <c r="AA11" s="13" t="s">
        <v>19</v>
      </c>
      <c r="AB11" s="13" t="s">
        <v>19</v>
      </c>
      <c r="AC11" s="14"/>
      <c r="AD11" s="13" t="s">
        <v>18</v>
      </c>
      <c r="AE11" s="13" t="s">
        <v>18</v>
      </c>
      <c r="AF11" s="13" t="s">
        <v>18</v>
      </c>
      <c r="AG11" s="13" t="s">
        <v>52</v>
      </c>
      <c r="AH11" s="13" t="s">
        <v>52</v>
      </c>
      <c r="AI11" s="13" t="s">
        <v>19</v>
      </c>
      <c r="AJ11" s="13" t="s">
        <v>19</v>
      </c>
      <c r="AK11" s="14"/>
      <c r="AL11" s="13" t="s">
        <v>18</v>
      </c>
      <c r="AM11" s="14"/>
      <c r="AN11" s="55"/>
      <c r="AO11" s="152"/>
      <c r="AP11" s="153"/>
      <c r="AQ11" s="11"/>
      <c r="AR11" s="11"/>
      <c r="AS11" s="11"/>
      <c r="AT11" s="11"/>
      <c r="AU11" s="11"/>
      <c r="AV11" s="11"/>
      <c r="AW11" s="11"/>
      <c r="AX11" s="11"/>
      <c r="AY11" s="11"/>
    </row>
    <row r="12" spans="1:55" ht="15.5">
      <c r="A12" s="15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59"/>
      <c r="AR12" s="59"/>
      <c r="AS12" s="59"/>
      <c r="AT12" s="15"/>
      <c r="AU12" s="15"/>
      <c r="AV12" s="15"/>
      <c r="AW12" s="15"/>
      <c r="AX12" s="15"/>
      <c r="AY12" s="15"/>
      <c r="AZ12" s="15"/>
      <c r="BA12" s="15"/>
      <c r="BB12" s="15"/>
    </row>
    <row r="13" spans="1:55" ht="15.5">
      <c r="A13" s="15"/>
      <c r="B13" s="154" t="s">
        <v>9</v>
      </c>
      <c r="C13" s="154"/>
      <c r="D13" s="154"/>
      <c r="E13" s="154"/>
      <c r="F13" s="154"/>
      <c r="G13" s="154"/>
      <c r="H13" s="154"/>
      <c r="I13" s="154"/>
      <c r="J13" s="154"/>
      <c r="K13" s="154"/>
      <c r="L13" s="154"/>
      <c r="M13" s="154"/>
      <c r="N13" s="154"/>
      <c r="O13" s="154"/>
      <c r="P13" s="154"/>
      <c r="Q13" s="154"/>
      <c r="R13" s="154"/>
      <c r="S13" s="154"/>
      <c r="T13" s="154"/>
      <c r="U13" s="154"/>
      <c r="V13" s="154"/>
      <c r="W13" s="154"/>
      <c r="X13" s="154"/>
      <c r="Y13" s="154"/>
      <c r="Z13" s="154"/>
      <c r="AA13" s="154"/>
      <c r="AB13" s="154"/>
      <c r="AC13" s="154"/>
      <c r="AD13" s="154"/>
      <c r="AE13" s="154"/>
      <c r="AF13" s="154"/>
      <c r="AG13" s="154"/>
      <c r="AH13" s="154"/>
      <c r="AI13" s="154"/>
      <c r="AJ13" s="154"/>
      <c r="AK13" s="154"/>
      <c r="AL13" s="154"/>
      <c r="AM13" s="154"/>
      <c r="AN13" s="154"/>
      <c r="AO13" s="154"/>
      <c r="AP13" s="154"/>
      <c r="AQ13" s="58"/>
      <c r="AR13" s="58"/>
      <c r="AS13" s="58"/>
      <c r="AT13" s="15"/>
      <c r="AU13" s="15"/>
      <c r="AV13" s="15"/>
      <c r="AW13" s="15"/>
      <c r="AX13" s="15"/>
      <c r="AY13" s="15"/>
      <c r="AZ13" s="15"/>
      <c r="BA13" s="15"/>
      <c r="BB13" s="15"/>
    </row>
    <row r="14" spans="1:55" ht="18.75" customHeight="1">
      <c r="A14" s="3"/>
      <c r="B14" s="147" t="str">
        <f>+B9</f>
        <v>NOMBRE</v>
      </c>
      <c r="C14" s="9">
        <v>1</v>
      </c>
      <c r="D14" s="9">
        <v>2</v>
      </c>
      <c r="E14" s="149" t="s">
        <v>11</v>
      </c>
      <c r="F14" s="25">
        <v>3</v>
      </c>
      <c r="G14" s="9">
        <v>4</v>
      </c>
      <c r="H14" s="9">
        <v>5</v>
      </c>
      <c r="I14" s="9">
        <v>6</v>
      </c>
      <c r="J14" s="9">
        <v>7</v>
      </c>
      <c r="K14" s="9">
        <v>8</v>
      </c>
      <c r="L14" s="9">
        <v>9</v>
      </c>
      <c r="M14" s="155" t="s">
        <v>11</v>
      </c>
      <c r="N14" s="9">
        <v>10</v>
      </c>
      <c r="O14" s="9">
        <v>11</v>
      </c>
      <c r="P14" s="9">
        <v>12</v>
      </c>
      <c r="Q14" s="9">
        <v>13</v>
      </c>
      <c r="R14" s="9">
        <v>14</v>
      </c>
      <c r="S14" s="9">
        <v>15</v>
      </c>
      <c r="T14" s="9">
        <v>16</v>
      </c>
      <c r="U14" s="149" t="s">
        <v>11</v>
      </c>
      <c r="V14" s="9">
        <v>20</v>
      </c>
      <c r="W14" s="9">
        <v>21</v>
      </c>
      <c r="X14" s="9">
        <v>22</v>
      </c>
      <c r="Y14" s="8">
        <v>23</v>
      </c>
      <c r="Z14" s="9">
        <v>24</v>
      </c>
      <c r="AA14" s="8">
        <v>25</v>
      </c>
      <c r="AB14" s="8">
        <v>26</v>
      </c>
      <c r="AC14" s="149" t="s">
        <v>11</v>
      </c>
      <c r="AD14" s="8">
        <v>24</v>
      </c>
      <c r="AE14" s="8">
        <v>25</v>
      </c>
      <c r="AF14" s="8">
        <v>26</v>
      </c>
      <c r="AG14" s="8">
        <v>27</v>
      </c>
      <c r="AH14" s="8">
        <v>28</v>
      </c>
      <c r="AI14" s="8">
        <v>29</v>
      </c>
      <c r="AJ14" s="8">
        <v>30</v>
      </c>
      <c r="AK14" s="149" t="s">
        <v>11</v>
      </c>
      <c r="AL14" s="8">
        <v>31</v>
      </c>
      <c r="AM14" s="149" t="s">
        <v>11</v>
      </c>
      <c r="AN14" s="157" t="s">
        <v>12</v>
      </c>
      <c r="AO14" s="167" t="s">
        <v>24</v>
      </c>
      <c r="AP14" s="168"/>
    </row>
    <row r="15" spans="1:55" ht="13" customHeight="1">
      <c r="A15" s="3"/>
      <c r="B15" s="148"/>
      <c r="C15" s="10" t="s">
        <v>17</v>
      </c>
      <c r="D15" s="10" t="s">
        <v>18</v>
      </c>
      <c r="E15" s="150"/>
      <c r="F15" s="25" t="s">
        <v>19</v>
      </c>
      <c r="G15" s="10" t="s">
        <v>14</v>
      </c>
      <c r="H15" s="10" t="s">
        <v>14</v>
      </c>
      <c r="I15" s="10" t="s">
        <v>15</v>
      </c>
      <c r="J15" s="10" t="s">
        <v>16</v>
      </c>
      <c r="K15" s="10" t="s">
        <v>17</v>
      </c>
      <c r="L15" s="10" t="s">
        <v>18</v>
      </c>
      <c r="M15" s="156"/>
      <c r="N15" s="10" t="s">
        <v>19</v>
      </c>
      <c r="O15" s="10" t="s">
        <v>14</v>
      </c>
      <c r="P15" s="10" t="s">
        <v>14</v>
      </c>
      <c r="Q15" s="10" t="s">
        <v>15</v>
      </c>
      <c r="R15" s="10" t="s">
        <v>16</v>
      </c>
      <c r="S15" s="10" t="s">
        <v>17</v>
      </c>
      <c r="T15" s="10" t="s">
        <v>18</v>
      </c>
      <c r="U15" s="150"/>
      <c r="V15" s="10" t="s">
        <v>19</v>
      </c>
      <c r="W15" s="10" t="s">
        <v>14</v>
      </c>
      <c r="X15" s="10" t="s">
        <v>14</v>
      </c>
      <c r="Y15" s="10" t="s">
        <v>15</v>
      </c>
      <c r="Z15" s="10" t="s">
        <v>16</v>
      </c>
      <c r="AA15" s="10" t="s">
        <v>17</v>
      </c>
      <c r="AB15" s="10" t="s">
        <v>18</v>
      </c>
      <c r="AC15" s="150"/>
      <c r="AD15" s="10" t="s">
        <v>19</v>
      </c>
      <c r="AE15" s="10" t="s">
        <v>14</v>
      </c>
      <c r="AF15" s="10" t="s">
        <v>14</v>
      </c>
      <c r="AG15" s="10" t="s">
        <v>15</v>
      </c>
      <c r="AH15" s="10" t="s">
        <v>16</v>
      </c>
      <c r="AI15" s="10" t="s">
        <v>17</v>
      </c>
      <c r="AJ15" s="10" t="s">
        <v>18</v>
      </c>
      <c r="AK15" s="150"/>
      <c r="AL15" s="10" t="s">
        <v>19</v>
      </c>
      <c r="AM15" s="150"/>
      <c r="AN15" s="158"/>
      <c r="AO15" s="144"/>
      <c r="AP15" s="150"/>
    </row>
    <row r="16" spans="1:55" ht="16.5" customHeight="1">
      <c r="A16" s="15"/>
      <c r="B16" s="12" t="s">
        <v>68</v>
      </c>
      <c r="C16" s="16">
        <f>VLOOKUP(C11,$M$24:$Z$28,14,0)</f>
        <v>0</v>
      </c>
      <c r="D16" s="16">
        <f>VLOOKUP(D11,$M$24:$Z$28,14,0)</f>
        <v>0</v>
      </c>
      <c r="E16" s="17">
        <f>SUM(C16:D16)</f>
        <v>0</v>
      </c>
      <c r="F16" s="16">
        <f t="shared" ref="F16:L16" si="0">VLOOKUP(F11,$M$24:$Z$28,14,0)</f>
        <v>9</v>
      </c>
      <c r="G16" s="16">
        <f t="shared" si="0"/>
        <v>9</v>
      </c>
      <c r="H16" s="16">
        <f t="shared" si="0"/>
        <v>8.5</v>
      </c>
      <c r="I16" s="16">
        <f t="shared" si="0"/>
        <v>8.5</v>
      </c>
      <c r="J16" s="16">
        <f t="shared" si="0"/>
        <v>0</v>
      </c>
      <c r="K16" s="16">
        <f t="shared" si="0"/>
        <v>0</v>
      </c>
      <c r="L16" s="16">
        <f t="shared" si="0"/>
        <v>0</v>
      </c>
      <c r="M16" s="17">
        <f>SUM(F16:L16)</f>
        <v>35</v>
      </c>
      <c r="N16" s="16">
        <f t="shared" ref="N16:T16" si="1">VLOOKUP(N11,$M$24:$Z$28,14,0)</f>
        <v>9</v>
      </c>
      <c r="O16" s="16">
        <f t="shared" si="1"/>
        <v>9</v>
      </c>
      <c r="P16" s="16">
        <f t="shared" si="1"/>
        <v>9</v>
      </c>
      <c r="Q16" s="16">
        <f t="shared" si="1"/>
        <v>8.5</v>
      </c>
      <c r="R16" s="16">
        <f t="shared" si="1"/>
        <v>8.5</v>
      </c>
      <c r="S16" s="16">
        <f t="shared" si="1"/>
        <v>0</v>
      </c>
      <c r="T16" s="16">
        <f t="shared" si="1"/>
        <v>0</v>
      </c>
      <c r="U16" s="17">
        <f>SUM(N16:T16)</f>
        <v>44</v>
      </c>
      <c r="V16" s="16">
        <f t="shared" ref="V16:AB16" si="2">VLOOKUP(V11,$M$24:$Z$28,14,0)</f>
        <v>0</v>
      </c>
      <c r="W16" s="16">
        <f t="shared" si="2"/>
        <v>9</v>
      </c>
      <c r="X16" s="16">
        <f t="shared" si="2"/>
        <v>9</v>
      </c>
      <c r="Y16" s="16">
        <f t="shared" si="2"/>
        <v>8.5</v>
      </c>
      <c r="Z16" s="16">
        <f t="shared" si="2"/>
        <v>8.5</v>
      </c>
      <c r="AA16" s="16">
        <f t="shared" si="2"/>
        <v>0</v>
      </c>
      <c r="AB16" s="16">
        <f t="shared" si="2"/>
        <v>0</v>
      </c>
      <c r="AC16" s="17">
        <f>SUM(V16:AB16)</f>
        <v>35</v>
      </c>
      <c r="AD16" s="16">
        <f t="shared" ref="AD16:AJ16" si="3">VLOOKUP(AD11,$M$24:$Z$28,14,0)</f>
        <v>9</v>
      </c>
      <c r="AE16" s="16">
        <f t="shared" si="3"/>
        <v>9</v>
      </c>
      <c r="AF16" s="16">
        <f t="shared" si="3"/>
        <v>9</v>
      </c>
      <c r="AG16" s="16">
        <f t="shared" si="3"/>
        <v>8.5</v>
      </c>
      <c r="AH16" s="16">
        <f t="shared" si="3"/>
        <v>8.5</v>
      </c>
      <c r="AI16" s="16">
        <f t="shared" si="3"/>
        <v>0</v>
      </c>
      <c r="AJ16" s="16">
        <f t="shared" si="3"/>
        <v>0</v>
      </c>
      <c r="AK16" s="17">
        <f>SUM(AD16:AJ16)</f>
        <v>44</v>
      </c>
      <c r="AL16" s="16">
        <f t="shared" ref="AL16" si="4">VLOOKUP(AL11,$M$24:$Z$28,14,0)</f>
        <v>9</v>
      </c>
      <c r="AM16" s="17">
        <f>SUM(AL16)</f>
        <v>9</v>
      </c>
      <c r="AN16" s="56">
        <v>1</v>
      </c>
      <c r="AO16" s="110">
        <f>SUM(E16+M16+U16+AC16+AK16+AM16+AN16)</f>
        <v>168</v>
      </c>
      <c r="AP16" s="111"/>
      <c r="AS16" s="99"/>
    </row>
    <row r="17" spans="1:45" ht="23.15" customHeight="1">
      <c r="A17" s="15"/>
      <c r="B17" s="18" t="s">
        <v>25</v>
      </c>
      <c r="C17" s="19">
        <f>SUM(C15:C16)</f>
        <v>0</v>
      </c>
      <c r="D17" s="19">
        <f>SUM(D15:D16)</f>
        <v>0</v>
      </c>
      <c r="E17" s="17">
        <f>SUM(C17:D17)</f>
        <v>0</v>
      </c>
      <c r="F17" s="19">
        <f t="shared" ref="F17:L17" si="5">SUM(F15:F16)</f>
        <v>9</v>
      </c>
      <c r="G17" s="19">
        <f t="shared" si="5"/>
        <v>9</v>
      </c>
      <c r="H17" s="19">
        <f t="shared" si="5"/>
        <v>8.5</v>
      </c>
      <c r="I17" s="19">
        <f t="shared" si="5"/>
        <v>8.5</v>
      </c>
      <c r="J17" s="19">
        <f t="shared" si="5"/>
        <v>0</v>
      </c>
      <c r="K17" s="19">
        <f t="shared" si="5"/>
        <v>0</v>
      </c>
      <c r="L17" s="19">
        <f t="shared" si="5"/>
        <v>0</v>
      </c>
      <c r="M17" s="17">
        <f>SUM(F17:L17)</f>
        <v>35</v>
      </c>
      <c r="N17" s="19">
        <f t="shared" ref="N17:T17" si="6">SUM(N15:N16)</f>
        <v>9</v>
      </c>
      <c r="O17" s="19">
        <f t="shared" si="6"/>
        <v>9</v>
      </c>
      <c r="P17" s="19">
        <f t="shared" si="6"/>
        <v>9</v>
      </c>
      <c r="Q17" s="19">
        <f t="shared" si="6"/>
        <v>8.5</v>
      </c>
      <c r="R17" s="19">
        <f t="shared" si="6"/>
        <v>8.5</v>
      </c>
      <c r="S17" s="19">
        <f t="shared" si="6"/>
        <v>0</v>
      </c>
      <c r="T17" s="19">
        <f t="shared" si="6"/>
        <v>0</v>
      </c>
      <c r="U17" s="17">
        <f>SUM(N17:T17)</f>
        <v>44</v>
      </c>
      <c r="V17" s="19">
        <f t="shared" ref="V17:AA17" si="7">SUM(V15:V16)</f>
        <v>0</v>
      </c>
      <c r="W17" s="19">
        <f t="shared" si="7"/>
        <v>9</v>
      </c>
      <c r="X17" s="19">
        <f t="shared" si="7"/>
        <v>9</v>
      </c>
      <c r="Y17" s="19">
        <f t="shared" si="7"/>
        <v>8.5</v>
      </c>
      <c r="Z17" s="19">
        <f t="shared" si="7"/>
        <v>8.5</v>
      </c>
      <c r="AA17" s="19">
        <f t="shared" si="7"/>
        <v>0</v>
      </c>
      <c r="AB17" s="19">
        <f t="shared" ref="AB17:AI17" si="8">SUM(AB15:AB16)</f>
        <v>0</v>
      </c>
      <c r="AC17" s="17">
        <f>SUM(V17:AB17)</f>
        <v>35</v>
      </c>
      <c r="AD17" s="19">
        <f t="shared" si="8"/>
        <v>9</v>
      </c>
      <c r="AE17" s="19">
        <f t="shared" si="8"/>
        <v>9</v>
      </c>
      <c r="AF17" s="19">
        <f t="shared" si="8"/>
        <v>9</v>
      </c>
      <c r="AG17" s="19">
        <f t="shared" si="8"/>
        <v>8.5</v>
      </c>
      <c r="AH17" s="19">
        <f t="shared" si="8"/>
        <v>8.5</v>
      </c>
      <c r="AI17" s="19">
        <f t="shared" si="8"/>
        <v>0</v>
      </c>
      <c r="AJ17" s="19"/>
      <c r="AK17" s="17">
        <f>SUM(AD17:AJ17)</f>
        <v>44</v>
      </c>
      <c r="AL17" s="19">
        <f>SUM(AL15:AL16)</f>
        <v>9</v>
      </c>
      <c r="AM17" s="17">
        <f>SUM(AL17)</f>
        <v>9</v>
      </c>
      <c r="AN17" s="19">
        <v>1</v>
      </c>
      <c r="AO17" s="110">
        <f>SUM(AO16:AO16)</f>
        <v>168</v>
      </c>
      <c r="AP17" s="111"/>
    </row>
    <row r="18" spans="1:45" ht="15.75" customHeight="1">
      <c r="A18" s="15"/>
      <c r="B18" s="12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60"/>
    </row>
    <row r="19" spans="1:45" ht="15" customHeight="1">
      <c r="A19" s="15"/>
      <c r="B19" s="12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60"/>
    </row>
    <row r="20" spans="1:45" ht="25.5" customHeight="1">
      <c r="A20" s="15"/>
      <c r="B20" s="21" t="s">
        <v>26</v>
      </c>
      <c r="M20" s="26"/>
      <c r="N20" s="20"/>
      <c r="O20" s="20"/>
      <c r="P20" s="20"/>
      <c r="Q20" s="20"/>
      <c r="R20" s="20"/>
    </row>
    <row r="21" spans="1:45" ht="15.75" customHeight="1">
      <c r="A21" s="7"/>
      <c r="B21" s="15"/>
      <c r="M21" s="26"/>
    </row>
    <row r="22" spans="1:45" ht="15.75" customHeight="1">
      <c r="A22" s="7"/>
      <c r="B22" s="7"/>
      <c r="M22" s="112" t="s">
        <v>27</v>
      </c>
      <c r="N22" s="113"/>
      <c r="O22" s="113"/>
      <c r="P22" s="113"/>
      <c r="Q22" s="113"/>
      <c r="R22" s="113"/>
      <c r="S22" s="113"/>
      <c r="T22" s="113"/>
      <c r="U22" s="113"/>
      <c r="V22" s="113"/>
      <c r="W22" s="113"/>
      <c r="X22" s="113"/>
      <c r="Y22" s="113"/>
      <c r="Z22" s="113"/>
      <c r="AA22" s="113"/>
      <c r="AB22" s="114"/>
    </row>
    <row r="23" spans="1:45" ht="16.5" customHeight="1">
      <c r="A23" s="7"/>
      <c r="B23" s="7"/>
      <c r="M23" s="115" t="s">
        <v>28</v>
      </c>
      <c r="N23" s="116"/>
      <c r="O23" s="116"/>
      <c r="P23" s="117"/>
      <c r="Q23" s="118" t="s">
        <v>29</v>
      </c>
      <c r="R23" s="116"/>
      <c r="S23" s="117"/>
      <c r="T23" s="118" t="s">
        <v>30</v>
      </c>
      <c r="U23" s="117"/>
      <c r="V23" s="118" t="s">
        <v>31</v>
      </c>
      <c r="W23" s="117"/>
      <c r="X23" s="118" t="s">
        <v>32</v>
      </c>
      <c r="Y23" s="117"/>
      <c r="Z23" s="119" t="s">
        <v>24</v>
      </c>
      <c r="AA23" s="120"/>
      <c r="AB23" s="121"/>
    </row>
    <row r="24" spans="1:45" ht="28" customHeight="1">
      <c r="A24" s="7"/>
      <c r="B24" s="7"/>
      <c r="M24" s="27" t="s">
        <v>18</v>
      </c>
      <c r="N24" s="122" t="s">
        <v>61</v>
      </c>
      <c r="O24" s="123"/>
      <c r="P24" s="124"/>
      <c r="Q24" s="125">
        <v>0.29166666666666702</v>
      </c>
      <c r="R24" s="126"/>
      <c r="S24" s="127"/>
      <c r="T24" s="125">
        <v>0.5</v>
      </c>
      <c r="U24" s="127"/>
      <c r="V24" s="125">
        <v>0.54166666666666696</v>
      </c>
      <c r="W24" s="127"/>
      <c r="X24" s="125">
        <v>0.70833333333333337</v>
      </c>
      <c r="Y24" s="127"/>
      <c r="Z24" s="46">
        <v>9</v>
      </c>
      <c r="AA24" s="47"/>
      <c r="AB24" s="48"/>
    </row>
    <row r="25" spans="1:45" ht="25" customHeight="1">
      <c r="A25" s="7"/>
      <c r="B25" s="7"/>
      <c r="M25" s="28" t="s">
        <v>52</v>
      </c>
      <c r="N25" s="128" t="s">
        <v>62</v>
      </c>
      <c r="O25" s="129"/>
      <c r="P25" s="130"/>
      <c r="Q25" s="125">
        <v>0.29166666666666702</v>
      </c>
      <c r="R25" s="126"/>
      <c r="S25" s="127"/>
      <c r="T25" s="125">
        <v>0.5</v>
      </c>
      <c r="U25" s="127"/>
      <c r="V25" s="125">
        <v>0.54166666666666696</v>
      </c>
      <c r="W25" s="127"/>
      <c r="X25" s="125">
        <v>0.66666666666666696</v>
      </c>
      <c r="Y25" s="127"/>
      <c r="Z25" s="49">
        <v>8.5</v>
      </c>
      <c r="AA25" s="47"/>
      <c r="AB25" s="48"/>
    </row>
    <row r="26" spans="1:45" ht="18" customHeight="1">
      <c r="A26" s="7"/>
      <c r="B26" s="7"/>
      <c r="M26" s="29" t="s">
        <v>22</v>
      </c>
      <c r="N26" s="128" t="s">
        <v>63</v>
      </c>
      <c r="O26" s="129"/>
      <c r="P26" s="130"/>
      <c r="Q26" s="125">
        <v>0.33333333333333298</v>
      </c>
      <c r="R26" s="126"/>
      <c r="S26" s="127"/>
      <c r="T26" s="125">
        <v>0.5</v>
      </c>
      <c r="U26" s="127"/>
      <c r="V26" s="125"/>
      <c r="W26" s="127"/>
      <c r="X26" s="125"/>
      <c r="Y26" s="127"/>
      <c r="Z26" s="49">
        <v>4</v>
      </c>
      <c r="AA26" s="47"/>
      <c r="AB26" s="48"/>
    </row>
    <row r="27" spans="1:45" ht="18" customHeight="1">
      <c r="A27" s="7"/>
      <c r="B27" s="7"/>
      <c r="M27" s="30" t="s">
        <v>19</v>
      </c>
      <c r="N27" s="128" t="s">
        <v>37</v>
      </c>
      <c r="O27" s="129"/>
      <c r="P27" s="130"/>
      <c r="Q27" s="37"/>
      <c r="R27" s="37"/>
      <c r="S27" s="38"/>
      <c r="T27" s="39"/>
      <c r="U27" s="40"/>
      <c r="V27" s="36"/>
      <c r="W27" s="38"/>
      <c r="X27" s="36"/>
      <c r="Y27" s="37"/>
      <c r="Z27" s="49">
        <v>0</v>
      </c>
      <c r="AA27" s="47"/>
      <c r="AB27" s="48"/>
    </row>
    <row r="28" spans="1:45" ht="16.5" customHeight="1">
      <c r="A28" s="7"/>
      <c r="B28" s="22"/>
      <c r="M28" s="31" t="s">
        <v>12</v>
      </c>
      <c r="N28" s="131" t="s">
        <v>38</v>
      </c>
      <c r="O28" s="132"/>
      <c r="P28" s="133"/>
      <c r="Q28" s="41"/>
      <c r="R28" s="42"/>
      <c r="S28" s="43"/>
      <c r="T28" s="41"/>
      <c r="U28" s="43"/>
      <c r="V28" s="41"/>
      <c r="W28" s="43"/>
      <c r="X28" s="41"/>
      <c r="Y28" s="43"/>
      <c r="Z28" s="50">
        <v>2</v>
      </c>
      <c r="AA28" s="51"/>
      <c r="AB28" s="52"/>
    </row>
    <row r="29" spans="1:45" ht="19.5" customHeight="1">
      <c r="A29" s="7"/>
      <c r="G29" s="32"/>
      <c r="H29" s="32"/>
      <c r="I29" s="32"/>
      <c r="P29" s="44"/>
      <c r="Q29" s="44"/>
      <c r="R29" s="44"/>
    </row>
    <row r="30" spans="1:45" ht="19.5" customHeight="1">
      <c r="A30" s="7"/>
      <c r="B30" s="22"/>
      <c r="G30" s="32"/>
      <c r="H30" s="32"/>
      <c r="I30" s="32"/>
    </row>
    <row r="31" spans="1:45" ht="19.5" customHeight="1">
      <c r="A31" s="7"/>
      <c r="B31" s="22"/>
      <c r="G31" s="32"/>
      <c r="H31" s="32"/>
      <c r="I31" s="32"/>
    </row>
    <row r="32" spans="1:45" ht="19.5" customHeight="1">
      <c r="A32" s="7"/>
      <c r="G32" s="32"/>
      <c r="H32" s="32"/>
      <c r="I32" s="32"/>
      <c r="M32" s="33"/>
      <c r="N32" s="33"/>
      <c r="O32" s="33"/>
      <c r="P32" s="33"/>
      <c r="Q32" s="33"/>
      <c r="R32" s="33"/>
      <c r="S32" s="33"/>
      <c r="T32" s="33"/>
      <c r="U32" s="33"/>
      <c r="V32" s="33"/>
    </row>
    <row r="33" spans="1:47" ht="19.5" customHeight="1">
      <c r="A33" s="7"/>
      <c r="B33" s="134" t="s">
        <v>39</v>
      </c>
      <c r="C33" s="134"/>
      <c r="M33" s="34" t="s">
        <v>40</v>
      </c>
      <c r="N33" s="34"/>
      <c r="P33" s="34"/>
      <c r="Q33" s="34"/>
      <c r="R33" s="34"/>
      <c r="S33" s="34"/>
      <c r="T33" s="34"/>
      <c r="Z33" s="32"/>
      <c r="AA33" s="53"/>
      <c r="AB33" s="135" t="s">
        <v>41</v>
      </c>
      <c r="AC33" s="135"/>
      <c r="AD33" s="136"/>
      <c r="AE33" s="136"/>
      <c r="AF33" s="136"/>
      <c r="AG33" s="136"/>
      <c r="AH33" s="136"/>
      <c r="AI33" s="136"/>
      <c r="AJ33" s="136"/>
      <c r="AK33" s="136"/>
      <c r="AL33" s="136"/>
      <c r="AM33" s="137"/>
      <c r="AN33" s="138"/>
      <c r="AO33" s="138"/>
      <c r="AP33" s="138"/>
      <c r="AQ33" s="138"/>
      <c r="AR33" s="138"/>
      <c r="AS33" s="138"/>
      <c r="AT33" s="138"/>
      <c r="AU33" s="138"/>
    </row>
    <row r="34" spans="1:47" ht="19.5" customHeight="1">
      <c r="A34" s="7"/>
      <c r="B34" s="139" t="s">
        <v>64</v>
      </c>
      <c r="C34" s="139"/>
      <c r="M34" s="140" t="s">
        <v>43</v>
      </c>
      <c r="N34" s="140"/>
      <c r="O34" s="140"/>
      <c r="P34" s="140"/>
      <c r="Q34" s="140"/>
      <c r="R34" s="140"/>
      <c r="S34" s="140"/>
      <c r="T34" s="140"/>
      <c r="U34" s="140"/>
      <c r="V34" s="140"/>
      <c r="AA34" s="54"/>
      <c r="AB34" s="141" t="s">
        <v>44</v>
      </c>
      <c r="AC34" s="141"/>
      <c r="AD34" s="140"/>
      <c r="AE34" s="140"/>
      <c r="AF34" s="140"/>
      <c r="AG34" s="140"/>
      <c r="AH34" s="140"/>
      <c r="AI34" s="140"/>
      <c r="AJ34" s="140"/>
      <c r="AK34" s="140"/>
      <c r="AL34" s="140"/>
      <c r="AM34" s="140"/>
      <c r="AN34" s="141"/>
      <c r="AO34" s="141"/>
      <c r="AP34" s="141"/>
      <c r="AQ34" s="141"/>
      <c r="AR34" s="141"/>
      <c r="AS34" s="141"/>
      <c r="AT34" s="141"/>
      <c r="AU34" s="141"/>
    </row>
  </sheetData>
  <mergeCells count="57">
    <mergeCell ref="AO9:AP10"/>
    <mergeCell ref="C1:AB4"/>
    <mergeCell ref="M14:M15"/>
    <mergeCell ref="U9:U10"/>
    <mergeCell ref="U14:U15"/>
    <mergeCell ref="AM9:AM10"/>
    <mergeCell ref="AM14:AM15"/>
    <mergeCell ref="AK9:AK10"/>
    <mergeCell ref="AK14:AK15"/>
    <mergeCell ref="AC14:AC15"/>
    <mergeCell ref="B1:B4"/>
    <mergeCell ref="B9:B10"/>
    <mergeCell ref="B14:B15"/>
    <mergeCell ref="E9:E10"/>
    <mergeCell ref="E14:E15"/>
    <mergeCell ref="B8:AP8"/>
    <mergeCell ref="AO11:AP11"/>
    <mergeCell ref="B13:AP13"/>
    <mergeCell ref="M9:M10"/>
    <mergeCell ref="AN9:AN10"/>
    <mergeCell ref="AC1:AP1"/>
    <mergeCell ref="AC2:AP2"/>
    <mergeCell ref="AC3:AP3"/>
    <mergeCell ref="AC4:AP4"/>
    <mergeCell ref="AN14:AN15"/>
    <mergeCell ref="AO14:AP15"/>
    <mergeCell ref="N27:P27"/>
    <mergeCell ref="N28:P28"/>
    <mergeCell ref="B33:C33"/>
    <mergeCell ref="AB33:AU33"/>
    <mergeCell ref="B34:C34"/>
    <mergeCell ref="M34:V34"/>
    <mergeCell ref="AB34:AU34"/>
    <mergeCell ref="N26:P26"/>
    <mergeCell ref="Q26:S26"/>
    <mergeCell ref="T26:U26"/>
    <mergeCell ref="V26:W26"/>
    <mergeCell ref="X26:Y26"/>
    <mergeCell ref="N25:P25"/>
    <mergeCell ref="Q25:S25"/>
    <mergeCell ref="T25:U25"/>
    <mergeCell ref="V25:W25"/>
    <mergeCell ref="X25:Y25"/>
    <mergeCell ref="N24:P24"/>
    <mergeCell ref="Q24:S24"/>
    <mergeCell ref="T24:U24"/>
    <mergeCell ref="V24:W24"/>
    <mergeCell ref="X24:Y24"/>
    <mergeCell ref="AO16:AP16"/>
    <mergeCell ref="AO17:AP17"/>
    <mergeCell ref="M22:AB22"/>
    <mergeCell ref="M23:P23"/>
    <mergeCell ref="Q23:S23"/>
    <mergeCell ref="T23:U23"/>
    <mergeCell ref="V23:W23"/>
    <mergeCell ref="X23:Y23"/>
    <mergeCell ref="Z23:AB23"/>
  </mergeCells>
  <conditionalFormatting sqref="N26">
    <cfRule type="cellIs" priority="1" operator="equal">
      <formula>#REF!</formula>
    </cfRule>
  </conditionalFormatting>
  <conditionalFormatting sqref="V24:V26">
    <cfRule type="cellIs" priority="3" operator="equal">
      <formula>#REF!</formula>
    </cfRule>
  </conditionalFormatting>
  <conditionalFormatting sqref="X24:X26">
    <cfRule type="cellIs" priority="2" operator="equal">
      <formula>#REF!</formula>
    </cfRule>
  </conditionalFormatting>
  <pageMargins left="0.70866141732283505" right="0.70866141732283505" top="0.74803149606299202" bottom="0.74803149606299202" header="0" footer="0"/>
  <pageSetup paperSize="9" scale="55" orientation="landscape"/>
  <ignoredErrors>
    <ignoredError sqref="AC16:AC17 U16:U17 M16:M17 E16:E17 AL17 AK16" formula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4</vt:i4>
      </vt:variant>
    </vt:vector>
  </HeadingPairs>
  <TitlesOfParts>
    <vt:vector size="9" baseType="lpstr">
      <vt:lpstr>ADMISION HLN</vt:lpstr>
      <vt:lpstr>URGENCIAS HLN</vt:lpstr>
      <vt:lpstr>LIQUIDACION HLN</vt:lpstr>
      <vt:lpstr>AUTORIZACIONES</vt:lpstr>
      <vt:lpstr>ADMISION ADMINISTRATIVA</vt:lpstr>
      <vt:lpstr>'ADMISION ADMINISTRATIVA'!Área_de_impresión</vt:lpstr>
      <vt:lpstr>'ADMISION HLN'!Área_de_impresión</vt:lpstr>
      <vt:lpstr>'LIQUIDACION HLN'!Área_de_impresión</vt:lpstr>
      <vt:lpstr>'URGENCIAS HLN'!Área_de_impresión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teccoor1isabu</dc:creator>
  <cp:lastModifiedBy>Nicolás Fernando Bedoya Mejía</cp:lastModifiedBy>
  <dcterms:created xsi:type="dcterms:W3CDTF">2025-07-15T14:47:00Z</dcterms:created>
  <dcterms:modified xsi:type="dcterms:W3CDTF">2026-07-31T17:12:19Z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C0D26BC99B2D44DC939678F621012507_13</vt:lpwstr>
  </property>
  <property fmtid="{D5CDD505-2E9C-101B-9397-08002B2CF9AE}" pid="3" name="KSOProductBuildVer">
    <vt:lpwstr>2058-12.2.0.23196</vt:lpwstr>
  </property>
</Properties>
</file>